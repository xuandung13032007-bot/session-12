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7C7DEB2F-DB53-4661-9825-1B13BFEB168F}" xr6:coauthVersionLast="47" xr6:coauthVersionMax="47" xr10:uidLastSave="{00000000-0000-0000-0000-000000000000}"/>
  <bookViews>
    <workbookView xWindow="12108" yWindow="0" windowWidth="10932" windowHeight="12240" activeTab="1" xr2:uid="{00000000-000D-0000-FFFF-FFFF00000000}"/>
  </bookViews>
  <sheets>
    <sheet name="Sheet2" sheetId="4" r:id="rId1"/>
    <sheet name="Sheet1" sheetId="3" r:id="rId2"/>
    <sheet name="DonHang" sheetId="1" r:id="rId3"/>
    <sheet name="BangGia" sheetId="2" r:id="rId4"/>
  </sheets>
  <definedNames>
    <definedName name="_xlnm._FilterDatabase" localSheetId="2" hidden="1">DonHang!$A$1:$K$1</definedName>
    <definedName name="Slicer_Danh_mục">#N/A</definedName>
    <definedName name="Slicer_Ngày_bán">#N/A</definedName>
    <definedName name="Slicer_Thành_tiề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2" i="1"/>
</calcChain>
</file>

<file path=xl/sharedStrings.xml><?xml version="1.0" encoding="utf-8"?>
<sst xmlns="http://schemas.openxmlformats.org/spreadsheetml/2006/main" count="1057" uniqueCount="212">
  <si>
    <t>Mã đơn hàng</t>
  </si>
  <si>
    <t>Ngày bán</t>
  </si>
  <si>
    <t>Nhân viên</t>
  </si>
  <si>
    <t>Chi nhánh</t>
  </si>
  <si>
    <t>Tên sản phẩm</t>
  </si>
  <si>
    <t>Danh mục</t>
  </si>
  <si>
    <t>Số lượng</t>
  </si>
  <si>
    <t>Đơn giá</t>
  </si>
  <si>
    <t>Thành tiền</t>
  </si>
  <si>
    <t>Kênh bán</t>
  </si>
  <si>
    <t>Ghi chú</t>
  </si>
  <si>
    <t>QB-240001</t>
  </si>
  <si>
    <t>Nguyễn Minh Anh</t>
  </si>
  <si>
    <t>Hà Nội</t>
  </si>
  <si>
    <t>Burger Bò Phô Mai</t>
  </si>
  <si>
    <t>Burger</t>
  </si>
  <si>
    <t>Tại quán</t>
  </si>
  <si>
    <t>QB-240002</t>
  </si>
  <si>
    <t>Võ Văn Phúc</t>
  </si>
  <si>
    <t>TP.HCM</t>
  </si>
  <si>
    <t>Burger Gà Giòn</t>
  </si>
  <si>
    <t>Thêm tương ớt</t>
  </si>
  <si>
    <t>QB-240003</t>
  </si>
  <si>
    <t>QB-240004</t>
  </si>
  <si>
    <t>Hoàng Thị Em</t>
  </si>
  <si>
    <t>Ít đá</t>
  </si>
  <si>
    <t>QB-240005</t>
  </si>
  <si>
    <t>Trần Văn Bình</t>
  </si>
  <si>
    <t>Gà Rán 5 Miếng</t>
  </si>
  <si>
    <t>Gà rán</t>
  </si>
  <si>
    <t>Grab</t>
  </si>
  <si>
    <t>QB-240006</t>
  </si>
  <si>
    <t>Gà Rán 2 Miếng</t>
  </si>
  <si>
    <t>QB-240007</t>
  </si>
  <si>
    <t>Lê Thị Cẩm</t>
  </si>
  <si>
    <t>Đà Nẵng</t>
  </si>
  <si>
    <t>QB-240008</t>
  </si>
  <si>
    <t>Khoai Tây Chiên (M)</t>
  </si>
  <si>
    <t>Món phụ</t>
  </si>
  <si>
    <t>Không hành</t>
  </si>
  <si>
    <t>QB-240009</t>
  </si>
  <si>
    <t>Trà Đào</t>
  </si>
  <si>
    <t>Nước uống</t>
  </si>
  <si>
    <t>QB-240010</t>
  </si>
  <si>
    <t>ShopeeFood</t>
  </si>
  <si>
    <t>QB-240011</t>
  </si>
  <si>
    <t>QB-240012</t>
  </si>
  <si>
    <t>Khách VIP</t>
  </si>
  <si>
    <t>QB-240013</t>
  </si>
  <si>
    <t>Pizza Rau Củ</t>
  </si>
  <si>
    <t>Pizza</t>
  </si>
  <si>
    <t>QB-240014</t>
  </si>
  <si>
    <t>Khoai Tây Chiên (L)</t>
  </si>
  <si>
    <t>QB-240015</t>
  </si>
  <si>
    <t>Pizza Hải Sản</t>
  </si>
  <si>
    <t>Giao gấp</t>
  </si>
  <si>
    <t>QB-240016</t>
  </si>
  <si>
    <t>Salad Trộn</t>
  </si>
  <si>
    <t>QB-240017</t>
  </si>
  <si>
    <t>Pepsi</t>
  </si>
  <si>
    <t>QB-240018</t>
  </si>
  <si>
    <t>QB-240019</t>
  </si>
  <si>
    <t>QB-240020</t>
  </si>
  <si>
    <t>Burger Tôm</t>
  </si>
  <si>
    <t>QB-240021</t>
  </si>
  <si>
    <t>QB-240022</t>
  </si>
  <si>
    <t>QB-240023</t>
  </si>
  <si>
    <t>QB-240024</t>
  </si>
  <si>
    <t>Phạm Hoàng Dũng</t>
  </si>
  <si>
    <t>QB-240025</t>
  </si>
  <si>
    <t>Cánh Gà Chiên Mắm</t>
  </si>
  <si>
    <t>QB-240026</t>
  </si>
  <si>
    <t>QB-240027</t>
  </si>
  <si>
    <t>QB-240028</t>
  </si>
  <si>
    <t>Coca Cola</t>
  </si>
  <si>
    <t>QB-240029</t>
  </si>
  <si>
    <t>QB-240030</t>
  </si>
  <si>
    <t>QB-240031</t>
  </si>
  <si>
    <t>QB-240032</t>
  </si>
  <si>
    <t>QB-240033</t>
  </si>
  <si>
    <t>QB-240034</t>
  </si>
  <si>
    <t>QB-240035</t>
  </si>
  <si>
    <t>QB-240036</t>
  </si>
  <si>
    <t>QB-240037</t>
  </si>
  <si>
    <t>QB-240038</t>
  </si>
  <si>
    <t>QB-240039</t>
  </si>
  <si>
    <t>QB-240040</t>
  </si>
  <si>
    <t>QB-240041</t>
  </si>
  <si>
    <t>QB-240042</t>
  </si>
  <si>
    <t>QB-240043</t>
  </si>
  <si>
    <t>QB-240044</t>
  </si>
  <si>
    <t>QB-240045</t>
  </si>
  <si>
    <t>QB-240046</t>
  </si>
  <si>
    <t>QB-240047</t>
  </si>
  <si>
    <t>QB-240048</t>
  </si>
  <si>
    <t>QB-240049</t>
  </si>
  <si>
    <t>QB-240050</t>
  </si>
  <si>
    <t>QB-240051</t>
  </si>
  <si>
    <t>QB-240052</t>
  </si>
  <si>
    <t>Pizza Pepperoni</t>
  </si>
  <si>
    <t>QB-240053</t>
  </si>
  <si>
    <t>QB-240054</t>
  </si>
  <si>
    <t>QB-240055</t>
  </si>
  <si>
    <t>QB-240056</t>
  </si>
  <si>
    <t>QB-240057</t>
  </si>
  <si>
    <t>QB-240058</t>
  </si>
  <si>
    <t>QB-240059</t>
  </si>
  <si>
    <t>QB-240060</t>
  </si>
  <si>
    <t>QB-240061</t>
  </si>
  <si>
    <t>QB-240062</t>
  </si>
  <si>
    <t>QB-240063</t>
  </si>
  <si>
    <t>QB-240064</t>
  </si>
  <si>
    <t>QB-240065</t>
  </si>
  <si>
    <t>QB-240066</t>
  </si>
  <si>
    <t>QB-240067</t>
  </si>
  <si>
    <t>QB-240068</t>
  </si>
  <si>
    <t>QB-240069</t>
  </si>
  <si>
    <t>QB-240070</t>
  </si>
  <si>
    <t>QB-240071</t>
  </si>
  <si>
    <t>QB-240072</t>
  </si>
  <si>
    <t>QB-240073</t>
  </si>
  <si>
    <t>QB-240074</t>
  </si>
  <si>
    <t>QB-240075</t>
  </si>
  <si>
    <t>QB-240076</t>
  </si>
  <si>
    <t>QB-240077</t>
  </si>
  <si>
    <t>QB-240078</t>
  </si>
  <si>
    <t>QB-240079</t>
  </si>
  <si>
    <t>QB-240080</t>
  </si>
  <si>
    <t>QB-240081</t>
  </si>
  <si>
    <t>QB-240082</t>
  </si>
  <si>
    <t>QB-240083</t>
  </si>
  <si>
    <t>QB-240084</t>
  </si>
  <si>
    <t>QB-240085</t>
  </si>
  <si>
    <t>QB-240086</t>
  </si>
  <si>
    <t>QB-240087</t>
  </si>
  <si>
    <t>QB-240088</t>
  </si>
  <si>
    <t>QB-240089</t>
  </si>
  <si>
    <t>QB-240090</t>
  </si>
  <si>
    <t>QB-240091</t>
  </si>
  <si>
    <t>QB-240092</t>
  </si>
  <si>
    <t>QB-240093</t>
  </si>
  <si>
    <t>QB-240094</t>
  </si>
  <si>
    <t>QB-240095</t>
  </si>
  <si>
    <t>QB-240096</t>
  </si>
  <si>
    <t>QB-240097</t>
  </si>
  <si>
    <t>QB-240098</t>
  </si>
  <si>
    <t>QB-240099</t>
  </si>
  <si>
    <t>QB-240100</t>
  </si>
  <si>
    <t>QB-240101</t>
  </si>
  <si>
    <t>QB-240102</t>
  </si>
  <si>
    <t>QB-240103</t>
  </si>
  <si>
    <t>QB-240104</t>
  </si>
  <si>
    <t>QB-240105</t>
  </si>
  <si>
    <t>QB-240106</t>
  </si>
  <si>
    <t>QB-240107</t>
  </si>
  <si>
    <t>QB-240108</t>
  </si>
  <si>
    <t>QB-240109</t>
  </si>
  <si>
    <t>QB-240110</t>
  </si>
  <si>
    <t>QB-240111</t>
  </si>
  <si>
    <t>QB-240112</t>
  </si>
  <si>
    <t>QB-240113</t>
  </si>
  <si>
    <t>QB-240114</t>
  </si>
  <si>
    <t>QB-240115</t>
  </si>
  <si>
    <t>QB-240116</t>
  </si>
  <si>
    <t>QB-240117</t>
  </si>
  <si>
    <t>QB-240118</t>
  </si>
  <si>
    <t>QB-240119</t>
  </si>
  <si>
    <t>QB-240120</t>
  </si>
  <si>
    <t>QB-240121</t>
  </si>
  <si>
    <t>QB-240122</t>
  </si>
  <si>
    <t>QB-240123</t>
  </si>
  <si>
    <t>QB-240124</t>
  </si>
  <si>
    <t>QB-240125</t>
  </si>
  <si>
    <t>QB-240126</t>
  </si>
  <si>
    <t>QB-240127</t>
  </si>
  <si>
    <t>QB-240128</t>
  </si>
  <si>
    <t>QB-240129</t>
  </si>
  <si>
    <t>QB-240130</t>
  </si>
  <si>
    <t>QB-240131</t>
  </si>
  <si>
    <t>QB-240132</t>
  </si>
  <si>
    <t>QB-240133</t>
  </si>
  <si>
    <t>QB-240134</t>
  </si>
  <si>
    <t>QB-240135</t>
  </si>
  <si>
    <t>QB-240136</t>
  </si>
  <si>
    <t>QB-240137</t>
  </si>
  <si>
    <t>QB-240138</t>
  </si>
  <si>
    <t>QB-240139</t>
  </si>
  <si>
    <t>QB-240140</t>
  </si>
  <si>
    <t>QB-240141</t>
  </si>
  <si>
    <t>QB-240142</t>
  </si>
  <si>
    <t>QB-240143</t>
  </si>
  <si>
    <t>QB-240144</t>
  </si>
  <si>
    <t>QB-240145</t>
  </si>
  <si>
    <t>QB-240146</t>
  </si>
  <si>
    <t>QB-240147</t>
  </si>
  <si>
    <t>QB-240148</t>
  </si>
  <si>
    <t>QB-240149</t>
  </si>
  <si>
    <t>QB-240150</t>
  </si>
  <si>
    <t>Đơn giá chuẩn</t>
  </si>
  <si>
    <t>Doanh thu</t>
  </si>
  <si>
    <t>Row Labels</t>
  </si>
  <si>
    <t>Grand Total</t>
  </si>
  <si>
    <t>Sum of Doanh thu</t>
  </si>
  <si>
    <t>Qtr1</t>
  </si>
  <si>
    <t>Qtr2</t>
  </si>
  <si>
    <t>Qtr3</t>
  </si>
  <si>
    <t>Sum of Số lượng</t>
  </si>
  <si>
    <t>DASHBOARD Kinh doanh 2023 - QuickBite</t>
  </si>
  <si>
    <t xml:space="preserve"> Doanh thu theo ngày</t>
  </si>
  <si>
    <t>Doanh thu theo chi nhánh</t>
  </si>
  <si>
    <t xml:space="preserve">Doanh thu theo nhân viên </t>
  </si>
  <si>
    <t>Số lượng theo chi nhánh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</si>
</sst>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5" x14ac:knownFonts="1">
    <font>
      <sz val="11"/>
      <color theme="1"/>
      <name val="Calibri"/>
      <family val="2"/>
      <scheme val="minor"/>
    </font>
    <font>
      <sz val="12"/>
      <color rgb="FF1A1C1E"/>
      <name val="Arial"/>
      <family val="2"/>
    </font>
    <font>
      <sz val="12"/>
      <color theme="1"/>
      <name val="Arial"/>
      <family val="2"/>
    </font>
    <font>
      <b/>
      <sz val="12"/>
      <color rgb="FFFFFFFF"/>
      <name val="Arial"/>
      <family val="2"/>
    </font>
    <font>
      <b/>
      <sz val="12"/>
      <name val="Arial"/>
      <family val="2"/>
    </font>
  </fonts>
  <fills count="3">
    <fill>
      <patternFill patternType="none"/>
    </fill>
    <fill>
      <patternFill patternType="gray125"/>
    </fill>
    <fill>
      <patternFill patternType="solid">
        <fgColor rgb="FF2E7D32"/>
      </patternFill>
    </fill>
  </fills>
  <borders count="14">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top/>
      <bottom style="thin">
        <color indexed="64"/>
      </bottom>
      <diagonal/>
    </border>
    <border>
      <left/>
      <right style="medium">
        <color auto="1"/>
      </right>
      <top/>
      <bottom style="thin">
        <color auto="1"/>
      </bottom>
      <diagonal/>
    </border>
    <border>
      <left style="medium">
        <color auto="1"/>
      </left>
      <right/>
      <top style="thin">
        <color auto="1"/>
      </top>
      <bottom/>
      <diagonal/>
    </border>
    <border>
      <left/>
      <right/>
      <top style="thin">
        <color indexed="64"/>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27">
    <xf numFmtId="0" fontId="0" fillId="0" borderId="0" xfId="0"/>
    <xf numFmtId="0" fontId="3" fillId="2" borderId="1" xfId="0" applyFont="1" applyFill="1" applyBorder="1" applyAlignment="1">
      <alignment horizontal="center" vertical="center" wrapText="1"/>
    </xf>
    <xf numFmtId="0" fontId="2" fillId="0" borderId="1" xfId="0" applyFont="1" applyBorder="1"/>
    <xf numFmtId="3" fontId="2" fillId="0" borderId="1" xfId="0" applyNumberFormat="1" applyFont="1" applyBorder="1"/>
    <xf numFmtId="0" fontId="2" fillId="0" borderId="0" xfId="0" applyFont="1"/>
    <xf numFmtId="3" fontId="2" fillId="0" borderId="0" xfId="0" applyNumberFormat="1" applyFont="1"/>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164" fontId="1" fillId="0" borderId="0" xfId="0" applyNumberFormat="1" applyFont="1" applyAlignment="1">
      <alignment vertical="center" wrapText="1"/>
    </xf>
    <xf numFmtId="164" fontId="2"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12 bài 5.xlsx]Sheet1!PivotTable6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Sheet1!$A$4:$A$7</c:f>
              <c:strCache>
                <c:ptCount val="3"/>
                <c:pt idx="0">
                  <c:v>Qtr1</c:v>
                </c:pt>
                <c:pt idx="1">
                  <c:v>Qtr2</c:v>
                </c:pt>
                <c:pt idx="2">
                  <c:v>Qtr3</c:v>
                </c:pt>
              </c:strCache>
            </c:strRef>
          </c:cat>
          <c:val>
            <c:numRef>
              <c:f>Sheet1!$B$4:$B$7</c:f>
              <c:numCache>
                <c:formatCode>General</c:formatCode>
                <c:ptCount val="3"/>
                <c:pt idx="0">
                  <c:v>22897000</c:v>
                </c:pt>
                <c:pt idx="1">
                  <c:v>8528000</c:v>
                </c:pt>
                <c:pt idx="2">
                  <c:v>150000</c:v>
                </c:pt>
              </c:numCache>
            </c:numRef>
          </c:val>
          <c:smooth val="0"/>
          <c:extLst>
            <c:ext xmlns:c16="http://schemas.microsoft.com/office/drawing/2014/chart" uri="{C3380CC4-5D6E-409C-BE32-E72D297353CC}">
              <c16:uniqueId val="{00000000-1209-4216-9286-72652A418A00}"/>
            </c:ext>
          </c:extLst>
        </c:ser>
        <c:dLbls>
          <c:showLegendKey val="0"/>
          <c:showVal val="0"/>
          <c:showCatName val="0"/>
          <c:showSerName val="0"/>
          <c:showPercent val="0"/>
          <c:showBubbleSize val="0"/>
        </c:dLbls>
        <c:smooth val="0"/>
        <c:axId val="523915440"/>
        <c:axId val="523915920"/>
      </c:lineChart>
      <c:catAx>
        <c:axId val="5239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15920"/>
        <c:crosses val="autoZero"/>
        <c:auto val="1"/>
        <c:lblAlgn val="ctr"/>
        <c:lblOffset val="100"/>
        <c:noMultiLvlLbl val="0"/>
      </c:catAx>
      <c:valAx>
        <c:axId val="52391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1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12 bài 5.xlsx]Sheet1!PivotTable7</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C0C-4A59-A3BF-DF7F750061C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C0C-4A59-A3BF-DF7F750061C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C0C-4A59-A3BF-DF7F750061C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Sheet1!$A$11:$A$14</c:f>
              <c:strCache>
                <c:ptCount val="3"/>
                <c:pt idx="0">
                  <c:v>Đà Nẵng</c:v>
                </c:pt>
                <c:pt idx="1">
                  <c:v>Hà Nội</c:v>
                </c:pt>
                <c:pt idx="2">
                  <c:v>TP.HCM</c:v>
                </c:pt>
              </c:strCache>
            </c:strRef>
          </c:cat>
          <c:val>
            <c:numRef>
              <c:f>Sheet1!$B$11:$B$14</c:f>
              <c:numCache>
                <c:formatCode>General</c:formatCode>
                <c:ptCount val="3"/>
                <c:pt idx="0">
                  <c:v>11529000</c:v>
                </c:pt>
                <c:pt idx="1">
                  <c:v>10599000</c:v>
                </c:pt>
                <c:pt idx="2">
                  <c:v>9573000</c:v>
                </c:pt>
              </c:numCache>
            </c:numRef>
          </c:val>
          <c:extLst>
            <c:ext xmlns:c16="http://schemas.microsoft.com/office/drawing/2014/chart" uri="{C3380CC4-5D6E-409C-BE32-E72D297353CC}">
              <c16:uniqueId val="{00000006-6C0C-4A59-A3BF-DF7F750061C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12 bài 5.xlsx]Sheet1!PivotTable8</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38-4DFA-861C-966363517FA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38-4DFA-861C-966363517FA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38-4DFA-861C-966363517FA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Sheet1!$A$17:$A$20</c:f>
              <c:strCache>
                <c:ptCount val="3"/>
                <c:pt idx="0">
                  <c:v>Đà Nẵng</c:v>
                </c:pt>
                <c:pt idx="1">
                  <c:v>Hà Nội</c:v>
                </c:pt>
                <c:pt idx="2">
                  <c:v>TP.HCM</c:v>
                </c:pt>
              </c:strCache>
            </c:strRef>
          </c:cat>
          <c:val>
            <c:numRef>
              <c:f>Sheet1!$B$17:$B$20</c:f>
              <c:numCache>
                <c:formatCode>General</c:formatCode>
                <c:ptCount val="3"/>
                <c:pt idx="0">
                  <c:v>137</c:v>
                </c:pt>
                <c:pt idx="1">
                  <c:v>171</c:v>
                </c:pt>
                <c:pt idx="2">
                  <c:v>146</c:v>
                </c:pt>
              </c:numCache>
            </c:numRef>
          </c:val>
          <c:extLst>
            <c:ext xmlns:c16="http://schemas.microsoft.com/office/drawing/2014/chart" uri="{C3380CC4-5D6E-409C-BE32-E72D297353CC}">
              <c16:uniqueId val="{00000006-6138-4DFA-861C-966363517FA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12 bài 5.xlsx]Sheet1!PivotTable9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Sheet1!$B$23</c:f>
              <c:strCache>
                <c:ptCount val="1"/>
                <c:pt idx="0">
                  <c:v>Total</c:v>
                </c:pt>
              </c:strCache>
            </c:strRef>
          </c:tx>
          <c:spPr>
            <a:solidFill>
              <a:schemeClr val="accent1"/>
            </a:solidFill>
            <a:ln>
              <a:noFill/>
            </a:ln>
            <a:effectLst/>
          </c:spPr>
          <c:invertIfNegative val="0"/>
          <c:cat>
            <c:strRef>
              <c:f>Sheet1!$A$24:$A$29</c:f>
              <c:strCache>
                <c:ptCount val="5"/>
                <c:pt idx="0">
                  <c:v>Pizza</c:v>
                </c:pt>
                <c:pt idx="1">
                  <c:v>Gà rán</c:v>
                </c:pt>
                <c:pt idx="2">
                  <c:v>Burger</c:v>
                </c:pt>
                <c:pt idx="3">
                  <c:v>Món phụ</c:v>
                </c:pt>
                <c:pt idx="4">
                  <c:v>Nước uống</c:v>
                </c:pt>
              </c:strCache>
            </c:strRef>
          </c:cat>
          <c:val>
            <c:numRef>
              <c:f>Sheet1!$B$24:$B$29</c:f>
              <c:numCache>
                <c:formatCode>General</c:formatCode>
                <c:ptCount val="5"/>
                <c:pt idx="0">
                  <c:v>14286000</c:v>
                </c:pt>
                <c:pt idx="1">
                  <c:v>7707000</c:v>
                </c:pt>
                <c:pt idx="2">
                  <c:v>4165000</c:v>
                </c:pt>
                <c:pt idx="3">
                  <c:v>3443000</c:v>
                </c:pt>
                <c:pt idx="4">
                  <c:v>2100000</c:v>
                </c:pt>
              </c:numCache>
            </c:numRef>
          </c:val>
          <c:extLst>
            <c:ext xmlns:c16="http://schemas.microsoft.com/office/drawing/2014/chart" uri="{C3380CC4-5D6E-409C-BE32-E72D297353CC}">
              <c16:uniqueId val="{00000000-C2AD-4872-98FF-B7978B280047}"/>
            </c:ext>
          </c:extLst>
        </c:ser>
        <c:dLbls>
          <c:showLegendKey val="0"/>
          <c:showVal val="0"/>
          <c:showCatName val="0"/>
          <c:showSerName val="0"/>
          <c:showPercent val="0"/>
          <c:showBubbleSize val="0"/>
        </c:dLbls>
        <c:gapWidth val="182"/>
        <c:axId val="640911952"/>
        <c:axId val="640910512"/>
      </c:barChart>
      <c:catAx>
        <c:axId val="64091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10512"/>
        <c:crosses val="autoZero"/>
        <c:auto val="1"/>
        <c:lblAlgn val="ctr"/>
        <c:lblOffset val="100"/>
        <c:noMultiLvlLbl val="0"/>
      </c:catAx>
      <c:valAx>
        <c:axId val="640910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1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12 bài 5.xlsx]Sheet1!PivotTable6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Sheet1!$A$4:$A$7</c:f>
              <c:strCache>
                <c:ptCount val="3"/>
                <c:pt idx="0">
                  <c:v>Qtr1</c:v>
                </c:pt>
                <c:pt idx="1">
                  <c:v>Qtr2</c:v>
                </c:pt>
                <c:pt idx="2">
                  <c:v>Qtr3</c:v>
                </c:pt>
              </c:strCache>
            </c:strRef>
          </c:cat>
          <c:val>
            <c:numRef>
              <c:f>Sheet1!$B$4:$B$7</c:f>
              <c:numCache>
                <c:formatCode>General</c:formatCode>
                <c:ptCount val="3"/>
                <c:pt idx="0">
                  <c:v>22897000</c:v>
                </c:pt>
                <c:pt idx="1">
                  <c:v>8528000</c:v>
                </c:pt>
                <c:pt idx="2">
                  <c:v>150000</c:v>
                </c:pt>
              </c:numCache>
            </c:numRef>
          </c:val>
          <c:smooth val="0"/>
          <c:extLst>
            <c:ext xmlns:c16="http://schemas.microsoft.com/office/drawing/2014/chart" uri="{C3380CC4-5D6E-409C-BE32-E72D297353CC}">
              <c16:uniqueId val="{00000000-CC32-45C6-A525-1BE8342970AD}"/>
            </c:ext>
          </c:extLst>
        </c:ser>
        <c:dLbls>
          <c:showLegendKey val="0"/>
          <c:showVal val="0"/>
          <c:showCatName val="0"/>
          <c:showSerName val="0"/>
          <c:showPercent val="0"/>
          <c:showBubbleSize val="0"/>
        </c:dLbls>
        <c:smooth val="0"/>
        <c:axId val="523915440"/>
        <c:axId val="523915920"/>
      </c:lineChart>
      <c:catAx>
        <c:axId val="5239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15920"/>
        <c:crosses val="autoZero"/>
        <c:auto val="1"/>
        <c:lblAlgn val="ctr"/>
        <c:lblOffset val="100"/>
        <c:noMultiLvlLbl val="0"/>
      </c:catAx>
      <c:valAx>
        <c:axId val="52391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1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12 bài 5.xlsx]Sheet1!PivotTable7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E99-4B55-B9E4-2BFBA910009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E99-4B55-B9E4-2BFBA910009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E99-4B55-B9E4-2BFBA910009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Sheet1!$A$11:$A$14</c:f>
              <c:strCache>
                <c:ptCount val="3"/>
                <c:pt idx="0">
                  <c:v>Đà Nẵng</c:v>
                </c:pt>
                <c:pt idx="1">
                  <c:v>Hà Nội</c:v>
                </c:pt>
                <c:pt idx="2">
                  <c:v>TP.HCM</c:v>
                </c:pt>
              </c:strCache>
            </c:strRef>
          </c:cat>
          <c:val>
            <c:numRef>
              <c:f>Sheet1!$B$11:$B$14</c:f>
              <c:numCache>
                <c:formatCode>General</c:formatCode>
                <c:ptCount val="3"/>
                <c:pt idx="0">
                  <c:v>11529000</c:v>
                </c:pt>
                <c:pt idx="1">
                  <c:v>10599000</c:v>
                </c:pt>
                <c:pt idx="2">
                  <c:v>9573000</c:v>
                </c:pt>
              </c:numCache>
            </c:numRef>
          </c:val>
          <c:extLst>
            <c:ext xmlns:c16="http://schemas.microsoft.com/office/drawing/2014/chart" uri="{C3380CC4-5D6E-409C-BE32-E72D297353CC}">
              <c16:uniqueId val="{00000000-860A-459F-8954-3538CC281C2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12 bài 5.xlsx]Sheet1!PivotTable8</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4A0-4F17-A9D1-8C46D177914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4A0-4F17-A9D1-8C46D177914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4A0-4F17-A9D1-8C46D177914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Sheet1!$A$17:$A$20</c:f>
              <c:strCache>
                <c:ptCount val="3"/>
                <c:pt idx="0">
                  <c:v>Đà Nẵng</c:v>
                </c:pt>
                <c:pt idx="1">
                  <c:v>Hà Nội</c:v>
                </c:pt>
                <c:pt idx="2">
                  <c:v>TP.HCM</c:v>
                </c:pt>
              </c:strCache>
            </c:strRef>
          </c:cat>
          <c:val>
            <c:numRef>
              <c:f>Sheet1!$B$17:$B$20</c:f>
              <c:numCache>
                <c:formatCode>General</c:formatCode>
                <c:ptCount val="3"/>
                <c:pt idx="0">
                  <c:v>137</c:v>
                </c:pt>
                <c:pt idx="1">
                  <c:v>171</c:v>
                </c:pt>
                <c:pt idx="2">
                  <c:v>146</c:v>
                </c:pt>
              </c:numCache>
            </c:numRef>
          </c:val>
          <c:extLst>
            <c:ext xmlns:c16="http://schemas.microsoft.com/office/drawing/2014/chart" uri="{C3380CC4-5D6E-409C-BE32-E72D297353CC}">
              <c16:uniqueId val="{00000000-56AF-4BE9-AAEB-FE894AA2895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12 bài 5.xlsx]Sheet1!PivotTable9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Sheet1!$B$23</c:f>
              <c:strCache>
                <c:ptCount val="1"/>
                <c:pt idx="0">
                  <c:v>Total</c:v>
                </c:pt>
              </c:strCache>
            </c:strRef>
          </c:tx>
          <c:spPr>
            <a:solidFill>
              <a:schemeClr val="accent1"/>
            </a:solidFill>
            <a:ln>
              <a:noFill/>
            </a:ln>
            <a:effectLst/>
          </c:spPr>
          <c:invertIfNegative val="0"/>
          <c:cat>
            <c:strRef>
              <c:f>Sheet1!$A$24:$A$29</c:f>
              <c:strCache>
                <c:ptCount val="5"/>
                <c:pt idx="0">
                  <c:v>Pizza</c:v>
                </c:pt>
                <c:pt idx="1">
                  <c:v>Gà rán</c:v>
                </c:pt>
                <c:pt idx="2">
                  <c:v>Burger</c:v>
                </c:pt>
                <c:pt idx="3">
                  <c:v>Món phụ</c:v>
                </c:pt>
                <c:pt idx="4">
                  <c:v>Nước uống</c:v>
                </c:pt>
              </c:strCache>
            </c:strRef>
          </c:cat>
          <c:val>
            <c:numRef>
              <c:f>Sheet1!$B$24:$B$29</c:f>
              <c:numCache>
                <c:formatCode>General</c:formatCode>
                <c:ptCount val="5"/>
                <c:pt idx="0">
                  <c:v>14286000</c:v>
                </c:pt>
                <c:pt idx="1">
                  <c:v>7707000</c:v>
                </c:pt>
                <c:pt idx="2">
                  <c:v>4165000</c:v>
                </c:pt>
                <c:pt idx="3">
                  <c:v>3443000</c:v>
                </c:pt>
                <c:pt idx="4">
                  <c:v>2100000</c:v>
                </c:pt>
              </c:numCache>
            </c:numRef>
          </c:val>
          <c:extLst>
            <c:ext xmlns:c16="http://schemas.microsoft.com/office/drawing/2014/chart" uri="{C3380CC4-5D6E-409C-BE32-E72D297353CC}">
              <c16:uniqueId val="{00000000-6DCF-44D4-812B-1FF92C002FE8}"/>
            </c:ext>
          </c:extLst>
        </c:ser>
        <c:dLbls>
          <c:showLegendKey val="0"/>
          <c:showVal val="0"/>
          <c:showCatName val="0"/>
          <c:showSerName val="0"/>
          <c:showPercent val="0"/>
          <c:showBubbleSize val="0"/>
        </c:dLbls>
        <c:gapWidth val="182"/>
        <c:axId val="640911952"/>
        <c:axId val="640910512"/>
      </c:barChart>
      <c:catAx>
        <c:axId val="64091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10512"/>
        <c:crosses val="autoZero"/>
        <c:auto val="1"/>
        <c:lblAlgn val="ctr"/>
        <c:lblOffset val="100"/>
        <c:noMultiLvlLbl val="0"/>
      </c:catAx>
      <c:valAx>
        <c:axId val="640910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1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12 bài 5.xlsx]Sheet1!PivotTable10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Sheet1!$B$32</c:f>
              <c:strCache>
                <c:ptCount val="1"/>
                <c:pt idx="0">
                  <c:v>Total</c:v>
                </c:pt>
              </c:strCache>
            </c:strRef>
          </c:tx>
          <c:spPr>
            <a:solidFill>
              <a:schemeClr val="accent1"/>
            </a:solidFill>
            <a:ln>
              <a:noFill/>
            </a:ln>
            <a:effectLst/>
          </c:spPr>
          <c:invertIfNegative val="0"/>
          <c:cat>
            <c:strRef>
              <c:f>Sheet1!$A$33:$A$39</c:f>
              <c:strCache>
                <c:ptCount val="6"/>
                <c:pt idx="0">
                  <c:v>Phạm Hoàng Dũng</c:v>
                </c:pt>
                <c:pt idx="1">
                  <c:v>Võ Văn Phúc</c:v>
                </c:pt>
                <c:pt idx="2">
                  <c:v>Lê Thị Cẩm</c:v>
                </c:pt>
                <c:pt idx="3">
                  <c:v>Nguyễn Minh Anh</c:v>
                </c:pt>
                <c:pt idx="4">
                  <c:v>Trần Văn Bình</c:v>
                </c:pt>
                <c:pt idx="5">
                  <c:v>Hoàng Thị Em</c:v>
                </c:pt>
              </c:strCache>
            </c:strRef>
          </c:cat>
          <c:val>
            <c:numRef>
              <c:f>Sheet1!$B$33:$B$39</c:f>
              <c:numCache>
                <c:formatCode>General</c:formatCode>
                <c:ptCount val="6"/>
                <c:pt idx="0">
                  <c:v>5922000</c:v>
                </c:pt>
                <c:pt idx="1">
                  <c:v>5620000</c:v>
                </c:pt>
                <c:pt idx="2">
                  <c:v>5607000</c:v>
                </c:pt>
                <c:pt idx="3">
                  <c:v>5530000</c:v>
                </c:pt>
                <c:pt idx="4">
                  <c:v>5069000</c:v>
                </c:pt>
                <c:pt idx="5">
                  <c:v>3953000</c:v>
                </c:pt>
              </c:numCache>
            </c:numRef>
          </c:val>
          <c:extLst>
            <c:ext xmlns:c16="http://schemas.microsoft.com/office/drawing/2014/chart" uri="{C3380CC4-5D6E-409C-BE32-E72D297353CC}">
              <c16:uniqueId val="{00000000-5AFD-41A5-8530-9C5563D3692A}"/>
            </c:ext>
          </c:extLst>
        </c:ser>
        <c:dLbls>
          <c:showLegendKey val="0"/>
          <c:showVal val="0"/>
          <c:showCatName val="0"/>
          <c:showSerName val="0"/>
          <c:showPercent val="0"/>
          <c:showBubbleSize val="0"/>
        </c:dLbls>
        <c:gapWidth val="182"/>
        <c:axId val="694197536"/>
        <c:axId val="636314080"/>
      </c:barChart>
      <c:catAx>
        <c:axId val="69419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314080"/>
        <c:crosses val="autoZero"/>
        <c:auto val="1"/>
        <c:lblAlgn val="ctr"/>
        <c:lblOffset val="100"/>
        <c:noMultiLvlLbl val="0"/>
      </c:catAx>
      <c:valAx>
        <c:axId val="636314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19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5</xdr:col>
      <xdr:colOff>586734</xdr:colOff>
      <xdr:row>18</xdr:row>
      <xdr:rowOff>15240</xdr:rowOff>
    </xdr:to>
    <xdr:graphicFrame macro="">
      <xdr:nvGraphicFramePr>
        <xdr:cNvPr id="3" name="Chart 2">
          <a:extLst>
            <a:ext uri="{FF2B5EF4-FFF2-40B4-BE49-F238E27FC236}">
              <a16:creationId xmlns:a16="http://schemas.microsoft.com/office/drawing/2014/main" id="{AABCAA63-2486-4766-846A-D6ACD19A0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10</xdr:row>
      <xdr:rowOff>0</xdr:rowOff>
    </xdr:from>
    <xdr:to>
      <xdr:col>12</xdr:col>
      <xdr:colOff>350520</xdr:colOff>
      <xdr:row>20</xdr:row>
      <xdr:rowOff>114300</xdr:rowOff>
    </xdr:to>
    <xdr:graphicFrame macro="">
      <xdr:nvGraphicFramePr>
        <xdr:cNvPr id="4" name="Chart 3">
          <a:extLst>
            <a:ext uri="{FF2B5EF4-FFF2-40B4-BE49-F238E27FC236}">
              <a16:creationId xmlns:a16="http://schemas.microsoft.com/office/drawing/2014/main" id="{2AE3944A-9D8E-449F-B420-BCD53D1D3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0</xdr:rowOff>
    </xdr:from>
    <xdr:to>
      <xdr:col>5</xdr:col>
      <xdr:colOff>464820</xdr:colOff>
      <xdr:row>36</xdr:row>
      <xdr:rowOff>0</xdr:rowOff>
    </xdr:to>
    <xdr:graphicFrame macro="">
      <xdr:nvGraphicFramePr>
        <xdr:cNvPr id="5" name="Chart 4">
          <a:extLst>
            <a:ext uri="{FF2B5EF4-FFF2-40B4-BE49-F238E27FC236}">
              <a16:creationId xmlns:a16="http://schemas.microsoft.com/office/drawing/2014/main" id="{E30D6CB1-B906-4DCA-8452-D9E2C45BB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24</xdr:row>
      <xdr:rowOff>0</xdr:rowOff>
    </xdr:from>
    <xdr:to>
      <xdr:col>12</xdr:col>
      <xdr:colOff>419100</xdr:colOff>
      <xdr:row>33</xdr:row>
      <xdr:rowOff>121920</xdr:rowOff>
    </xdr:to>
    <xdr:graphicFrame macro="">
      <xdr:nvGraphicFramePr>
        <xdr:cNvPr id="7" name="Chart 6">
          <a:extLst>
            <a:ext uri="{FF2B5EF4-FFF2-40B4-BE49-F238E27FC236}">
              <a16:creationId xmlns:a16="http://schemas.microsoft.com/office/drawing/2014/main" id="{F1EA9748-83EB-4393-8564-CC8FCE7E9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10</xdr:row>
      <xdr:rowOff>0</xdr:rowOff>
    </xdr:from>
    <xdr:to>
      <xdr:col>16</xdr:col>
      <xdr:colOff>0</xdr:colOff>
      <xdr:row>23</xdr:row>
      <xdr:rowOff>89535</xdr:rowOff>
    </xdr:to>
    <mc:AlternateContent xmlns:mc="http://schemas.openxmlformats.org/markup-compatibility/2006">
      <mc:Choice xmlns:a14="http://schemas.microsoft.com/office/drawing/2010/main" Requires="a14">
        <xdr:graphicFrame macro="">
          <xdr:nvGraphicFramePr>
            <xdr:cNvPr id="8" name="Ngày bán 1">
              <a:extLst>
                <a:ext uri="{FF2B5EF4-FFF2-40B4-BE49-F238E27FC236}">
                  <a16:creationId xmlns:a16="http://schemas.microsoft.com/office/drawing/2014/main" id="{2AE500D1-76CE-4943-8CFD-5481A10E8BA7}"/>
                </a:ext>
              </a:extLst>
            </xdr:cNvPr>
            <xdr:cNvGraphicFramePr/>
          </xdr:nvGraphicFramePr>
          <xdr:xfrm>
            <a:off x="0" y="0"/>
            <a:ext cx="0" cy="0"/>
          </xdr:xfrm>
          <a:graphic>
            <a:graphicData uri="http://schemas.microsoft.com/office/drawing/2010/slicer">
              <sle:slicer xmlns:sle="http://schemas.microsoft.com/office/drawing/2010/slicer" name="Ngày bán 1"/>
            </a:graphicData>
          </a:graphic>
        </xdr:graphicFrame>
      </mc:Choice>
      <mc:Fallback>
        <xdr:sp macro="" textlink="">
          <xdr:nvSpPr>
            <xdr:cNvPr id="0" name=""/>
            <xdr:cNvSpPr>
              <a:spLocks noTextEdit="1"/>
            </xdr:cNvSpPr>
          </xdr:nvSpPr>
          <xdr:spPr>
            <a:xfrm>
              <a:off x="7924800" y="1844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24</xdr:row>
      <xdr:rowOff>0</xdr:rowOff>
    </xdr:from>
    <xdr:to>
      <xdr:col>16</xdr:col>
      <xdr:colOff>0</xdr:colOff>
      <xdr:row>37</xdr:row>
      <xdr:rowOff>89535</xdr:rowOff>
    </xdr:to>
    <mc:AlternateContent xmlns:mc="http://schemas.openxmlformats.org/markup-compatibility/2006">
      <mc:Choice xmlns:a14="http://schemas.microsoft.com/office/drawing/2010/main" Requires="a14">
        <xdr:graphicFrame macro="">
          <xdr:nvGraphicFramePr>
            <xdr:cNvPr id="9" name="Danh mục 1">
              <a:extLst>
                <a:ext uri="{FF2B5EF4-FFF2-40B4-BE49-F238E27FC236}">
                  <a16:creationId xmlns:a16="http://schemas.microsoft.com/office/drawing/2014/main" id="{F216A7A2-2444-4A11-BB83-76B596710320}"/>
                </a:ext>
              </a:extLst>
            </xdr:cNvPr>
            <xdr:cNvGraphicFramePr/>
          </xdr:nvGraphicFramePr>
          <xdr:xfrm>
            <a:off x="0" y="0"/>
            <a:ext cx="0" cy="0"/>
          </xdr:xfrm>
          <a:graphic>
            <a:graphicData uri="http://schemas.microsoft.com/office/drawing/2010/slicer">
              <sle:slicer xmlns:sle="http://schemas.microsoft.com/office/drawing/2010/slicer" name="Danh mục 1"/>
            </a:graphicData>
          </a:graphic>
        </xdr:graphicFrame>
      </mc:Choice>
      <mc:Fallback>
        <xdr:sp macro="" textlink="">
          <xdr:nvSpPr>
            <xdr:cNvPr id="0" name=""/>
            <xdr:cNvSpPr>
              <a:spLocks noTextEdit="1"/>
            </xdr:cNvSpPr>
          </xdr:nvSpPr>
          <xdr:spPr>
            <a:xfrm>
              <a:off x="7924800" y="4404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480060</xdr:colOff>
      <xdr:row>19</xdr:row>
      <xdr:rowOff>53340</xdr:rowOff>
    </xdr:from>
    <xdr:to>
      <xdr:col>19</xdr:col>
      <xdr:colOff>480060</xdr:colOff>
      <xdr:row>32</xdr:row>
      <xdr:rowOff>142875</xdr:rowOff>
    </xdr:to>
    <mc:AlternateContent xmlns:mc="http://schemas.openxmlformats.org/markup-compatibility/2006">
      <mc:Choice xmlns:a14="http://schemas.microsoft.com/office/drawing/2010/main" Requires="a14">
        <xdr:graphicFrame macro="">
          <xdr:nvGraphicFramePr>
            <xdr:cNvPr id="10" name="Thành tiền 1">
              <a:extLst>
                <a:ext uri="{FF2B5EF4-FFF2-40B4-BE49-F238E27FC236}">
                  <a16:creationId xmlns:a16="http://schemas.microsoft.com/office/drawing/2014/main" id="{ED8E5F78-F8A9-4393-8EBD-DBC8B2FF64AF}"/>
                </a:ext>
              </a:extLst>
            </xdr:cNvPr>
            <xdr:cNvGraphicFramePr/>
          </xdr:nvGraphicFramePr>
          <xdr:xfrm>
            <a:off x="0" y="0"/>
            <a:ext cx="0" cy="0"/>
          </xdr:xfrm>
          <a:graphic>
            <a:graphicData uri="http://schemas.microsoft.com/office/drawing/2010/slicer">
              <sle:slicer xmlns:sle="http://schemas.microsoft.com/office/drawing/2010/slicer" name="Thành tiền 1"/>
            </a:graphicData>
          </a:graphic>
        </xdr:graphicFrame>
      </mc:Choice>
      <mc:Fallback>
        <xdr:sp macro="" textlink="">
          <xdr:nvSpPr>
            <xdr:cNvPr id="0" name=""/>
            <xdr:cNvSpPr>
              <a:spLocks noTextEdit="1"/>
            </xdr:cNvSpPr>
          </xdr:nvSpPr>
          <xdr:spPr>
            <a:xfrm>
              <a:off x="10233660" y="3543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320046</xdr:colOff>
      <xdr:row>0</xdr:row>
      <xdr:rowOff>91440</xdr:rowOff>
    </xdr:from>
    <xdr:to>
      <xdr:col>8</xdr:col>
      <xdr:colOff>297180</xdr:colOff>
      <xdr:row>8</xdr:row>
      <xdr:rowOff>106680</xdr:rowOff>
    </xdr:to>
    <xdr:graphicFrame macro="">
      <xdr:nvGraphicFramePr>
        <xdr:cNvPr id="2" name="Chart 1">
          <a:extLst>
            <a:ext uri="{FF2B5EF4-FFF2-40B4-BE49-F238E27FC236}">
              <a16:creationId xmlns:a16="http://schemas.microsoft.com/office/drawing/2014/main" id="{4F4D45F9-3E3B-5AE7-A538-F81400A53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556260</xdr:colOff>
      <xdr:row>9</xdr:row>
      <xdr:rowOff>38100</xdr:rowOff>
    </xdr:from>
    <xdr:to>
      <xdr:col>8</xdr:col>
      <xdr:colOff>297180</xdr:colOff>
      <xdr:row>19</xdr:row>
      <xdr:rowOff>152400</xdr:rowOff>
    </xdr:to>
    <xdr:graphicFrame macro="">
      <xdr:nvGraphicFramePr>
        <xdr:cNvPr id="3" name="Chart 2">
          <a:extLst>
            <a:ext uri="{FF2B5EF4-FFF2-40B4-BE49-F238E27FC236}">
              <a16:creationId xmlns:a16="http://schemas.microsoft.com/office/drawing/2014/main" id="{3A173EFE-20EB-944F-B478-0036B352B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548640</xdr:colOff>
      <xdr:row>20</xdr:row>
      <xdr:rowOff>106680</xdr:rowOff>
    </xdr:from>
    <xdr:to>
      <xdr:col>8</xdr:col>
      <xdr:colOff>403860</xdr:colOff>
      <xdr:row>32</xdr:row>
      <xdr:rowOff>106680</xdr:rowOff>
    </xdr:to>
    <xdr:graphicFrame macro="">
      <xdr:nvGraphicFramePr>
        <xdr:cNvPr id="4" name="Chart 3">
          <a:extLst>
            <a:ext uri="{FF2B5EF4-FFF2-40B4-BE49-F238E27FC236}">
              <a16:creationId xmlns:a16="http://schemas.microsoft.com/office/drawing/2014/main" id="{A3DAEC9F-D923-8FDB-F996-BB85DF6C0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33</xdr:row>
      <xdr:rowOff>152400</xdr:rowOff>
    </xdr:from>
    <xdr:to>
      <xdr:col>8</xdr:col>
      <xdr:colOff>419100</xdr:colOff>
      <xdr:row>43</xdr:row>
      <xdr:rowOff>91440</xdr:rowOff>
    </xdr:to>
    <xdr:graphicFrame macro="">
      <xdr:nvGraphicFramePr>
        <xdr:cNvPr id="5" name="Chart 4">
          <a:extLst>
            <a:ext uri="{FF2B5EF4-FFF2-40B4-BE49-F238E27FC236}">
              <a16:creationId xmlns:a16="http://schemas.microsoft.com/office/drawing/2014/main" id="{DC60403F-1FE5-5147-E7D2-FD0467C2D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556260</xdr:colOff>
      <xdr:row>45</xdr:row>
      <xdr:rowOff>76200</xdr:rowOff>
    </xdr:from>
    <xdr:to>
      <xdr:col>8</xdr:col>
      <xdr:colOff>411480</xdr:colOff>
      <xdr:row>54</xdr:row>
      <xdr:rowOff>22860</xdr:rowOff>
    </xdr:to>
    <xdr:graphicFrame macro="">
      <xdr:nvGraphicFramePr>
        <xdr:cNvPr id="6" name="Chart 5">
          <a:extLst>
            <a:ext uri="{FF2B5EF4-FFF2-40B4-BE49-F238E27FC236}">
              <a16:creationId xmlns:a16="http://schemas.microsoft.com/office/drawing/2014/main" id="{C9462D60-8A5F-5AAA-74A3-016BDB6CF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182880</xdr:colOff>
      <xdr:row>1</xdr:row>
      <xdr:rowOff>38100</xdr:rowOff>
    </xdr:from>
    <xdr:to>
      <xdr:col>12</xdr:col>
      <xdr:colOff>182880</xdr:colOff>
      <xdr:row>14</xdr:row>
      <xdr:rowOff>127635</xdr:rowOff>
    </xdr:to>
    <mc:AlternateContent xmlns:mc="http://schemas.openxmlformats.org/markup-compatibility/2006">
      <mc:Choice xmlns:a14="http://schemas.microsoft.com/office/drawing/2010/main" Requires="a14">
        <xdr:graphicFrame macro="">
          <xdr:nvGraphicFramePr>
            <xdr:cNvPr id="7" name="Ngày bán">
              <a:extLst>
                <a:ext uri="{FF2B5EF4-FFF2-40B4-BE49-F238E27FC236}">
                  <a16:creationId xmlns:a16="http://schemas.microsoft.com/office/drawing/2014/main" id="{FAE79D8E-EB9A-5D08-5D87-43AC4A5215D4}"/>
                </a:ext>
              </a:extLst>
            </xdr:cNvPr>
            <xdr:cNvGraphicFramePr/>
          </xdr:nvGraphicFramePr>
          <xdr:xfrm>
            <a:off x="0" y="0"/>
            <a:ext cx="0" cy="0"/>
          </xdr:xfrm>
          <a:graphic>
            <a:graphicData uri="http://schemas.microsoft.com/office/drawing/2010/slicer">
              <sle:slicer xmlns:sle="http://schemas.microsoft.com/office/drawing/2010/slicer" name="Ngày bán"/>
            </a:graphicData>
          </a:graphic>
        </xdr:graphicFrame>
      </mc:Choice>
      <mc:Fallback>
        <xdr:sp macro="" textlink="">
          <xdr:nvSpPr>
            <xdr:cNvPr id="0" name=""/>
            <xdr:cNvSpPr>
              <a:spLocks noTextEdit="1"/>
            </xdr:cNvSpPr>
          </xdr:nvSpPr>
          <xdr:spPr>
            <a:xfrm>
              <a:off x="6438900" y="220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30480</xdr:colOff>
      <xdr:row>1</xdr:row>
      <xdr:rowOff>22860</xdr:rowOff>
    </xdr:from>
    <xdr:to>
      <xdr:col>16</xdr:col>
      <xdr:colOff>30480</xdr:colOff>
      <xdr:row>14</xdr:row>
      <xdr:rowOff>112395</xdr:rowOff>
    </xdr:to>
    <mc:AlternateContent xmlns:mc="http://schemas.openxmlformats.org/markup-compatibility/2006">
      <mc:Choice xmlns:a14="http://schemas.microsoft.com/office/drawing/2010/main" Requires="a14">
        <xdr:graphicFrame macro="">
          <xdr:nvGraphicFramePr>
            <xdr:cNvPr id="8" name="Danh mục">
              <a:extLst>
                <a:ext uri="{FF2B5EF4-FFF2-40B4-BE49-F238E27FC236}">
                  <a16:creationId xmlns:a16="http://schemas.microsoft.com/office/drawing/2014/main" id="{73A6C117-0D97-BB77-A8F5-6F14B207CFD5}"/>
                </a:ext>
              </a:extLst>
            </xdr:cNvPr>
            <xdr:cNvGraphicFramePr/>
          </xdr:nvGraphicFramePr>
          <xdr:xfrm>
            <a:off x="0" y="0"/>
            <a:ext cx="0" cy="0"/>
          </xdr:xfrm>
          <a:graphic>
            <a:graphicData uri="http://schemas.microsoft.com/office/drawing/2010/slicer">
              <sle:slicer xmlns:sle="http://schemas.microsoft.com/office/drawing/2010/slicer" name="Danh mục"/>
            </a:graphicData>
          </a:graphic>
        </xdr:graphicFrame>
      </mc:Choice>
      <mc:Fallback>
        <xdr:sp macro="" textlink="">
          <xdr:nvSpPr>
            <xdr:cNvPr id="0" name=""/>
            <xdr:cNvSpPr>
              <a:spLocks noTextEdit="1"/>
            </xdr:cNvSpPr>
          </xdr:nvSpPr>
          <xdr:spPr>
            <a:xfrm>
              <a:off x="8724900" y="205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365760</xdr:colOff>
      <xdr:row>15</xdr:row>
      <xdr:rowOff>114300</xdr:rowOff>
    </xdr:from>
    <xdr:to>
      <xdr:col>12</xdr:col>
      <xdr:colOff>365760</xdr:colOff>
      <xdr:row>29</xdr:row>
      <xdr:rowOff>20955</xdr:rowOff>
    </xdr:to>
    <mc:AlternateContent xmlns:mc="http://schemas.openxmlformats.org/markup-compatibility/2006">
      <mc:Choice xmlns:a14="http://schemas.microsoft.com/office/drawing/2010/main" Requires="a14">
        <xdr:graphicFrame macro="">
          <xdr:nvGraphicFramePr>
            <xdr:cNvPr id="9" name="Thành tiền">
              <a:extLst>
                <a:ext uri="{FF2B5EF4-FFF2-40B4-BE49-F238E27FC236}">
                  <a16:creationId xmlns:a16="http://schemas.microsoft.com/office/drawing/2014/main" id="{2E9CD38E-B404-BBE4-03C5-27606E7B53BB}"/>
                </a:ext>
              </a:extLst>
            </xdr:cNvPr>
            <xdr:cNvGraphicFramePr/>
          </xdr:nvGraphicFramePr>
          <xdr:xfrm>
            <a:off x="0" y="0"/>
            <a:ext cx="0" cy="0"/>
          </xdr:xfrm>
          <a:graphic>
            <a:graphicData uri="http://schemas.microsoft.com/office/drawing/2010/slicer">
              <sle:slicer xmlns:sle="http://schemas.microsoft.com/office/drawing/2010/slicer" name="Thành tiền"/>
            </a:graphicData>
          </a:graphic>
        </xdr:graphicFrame>
      </mc:Choice>
      <mc:Fallback>
        <xdr:sp macro="" textlink="">
          <xdr:nvSpPr>
            <xdr:cNvPr id="0" name=""/>
            <xdr:cNvSpPr>
              <a:spLocks noTextEdit="1"/>
            </xdr:cNvSpPr>
          </xdr:nvSpPr>
          <xdr:spPr>
            <a:xfrm>
              <a:off x="6621780" y="2857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0.406966898146" createdVersion="8" refreshedVersion="8" minRefreshableVersion="3" recordCount="150" xr:uid="{EC2B9F8A-F0A5-4E58-9E9A-2724021A46E5}">
  <cacheSource type="worksheet">
    <worksheetSource ref="A1:L151" sheet="DonHang"/>
  </cacheSource>
  <cacheFields count="15">
    <cacheField name="Mã đơn hàng" numFmtId="0">
      <sharedItems/>
    </cacheField>
    <cacheField name="Ngày bán" numFmtId="164">
      <sharedItems containsSemiMixedTypes="0" containsNonDate="0" containsDate="1" containsString="0" minDate="2023-01-02T00:00:00" maxDate="2027-03-25T00:00:00" count="12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4-03-24T00:00:00"/>
        <d v="2025-03-24T00:00:00"/>
        <d v="2026-03-24T00:00:00"/>
        <d v="2027-03-24T00:00:00"/>
        <d v="2023-07-29T00:00:00"/>
        <d v="2023-07-30T00:00:00"/>
        <d v="2023-07-31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sharedItems>
      <fieldGroup par="14"/>
    </cacheField>
    <cacheField name="Nhân viên" numFmtId="0">
      <sharedItems count="6">
        <s v="Nguyễn Minh Anh"/>
        <s v="Võ Văn Phúc"/>
        <s v="Hoàng Thị Em"/>
        <s v="Trần Văn Bình"/>
        <s v="Lê Thị Cẩm"/>
        <s v="Phạm Hoàng Dũng"/>
      </sharedItems>
    </cacheField>
    <cacheField name="Chi nhánh" numFmtId="0">
      <sharedItems count="3">
        <s v="Hà Nội"/>
        <s v="TP.HCM"/>
        <s v="Đà Nẵng"/>
      </sharedItems>
    </cacheField>
    <cacheField name="Tên sản phẩm" numFmtId="0">
      <sharedItems count="15">
        <s v="Burger Bò Phô Mai"/>
        <s v="Burger Gà Giòn"/>
        <s v="Gà Rán 5 Miếng"/>
        <s v="Gà Rán 2 Miếng"/>
        <s v="Khoai Tây Chiên (M)"/>
        <s v="Trà Đào"/>
        <s v="Pizza Rau Củ"/>
        <s v="Khoai Tây Chiên (L)"/>
        <s v="Pizza Hải Sản"/>
        <s v="Salad Trộn"/>
        <s v="Pepsi"/>
        <s v="Burger Tôm"/>
        <s v="Cánh Gà Chiên Mắm"/>
        <s v="Coca Cola"/>
        <s v="Pizza Pepperoni"/>
      </sharedItems>
    </cacheField>
    <cacheField name="Danh mục" numFmtId="0">
      <sharedItems count="5">
        <s v="Burger"/>
        <s v="Gà rán"/>
        <s v="Món phụ"/>
        <s v="Nước uống"/>
        <s v="Pizza"/>
      </sharedItems>
    </cacheField>
    <cacheField name="Số lượng" numFmtId="0">
      <sharedItems containsSemiMixedTypes="0" containsString="0" containsNumber="1" containsInteger="1" minValue="1" maxValue="5"/>
    </cacheField>
    <cacheField name="Đơn giá" numFmtId="3">
      <sharedItems containsSemiMixedTypes="0" containsString="0" containsNumber="1" containsInteger="1" minValue="18000" maxValue="189000"/>
    </cacheField>
    <cacheField name="Thành tiền" numFmtId="3">
      <sharedItems containsSemiMixedTypes="0" containsString="0" containsNumber="1" containsInteger="1" minValue="18000" maxValue="945000" count="53">
        <n v="165000"/>
        <n v="225000"/>
        <n v="55000"/>
        <n v="275000"/>
        <n v="645000"/>
        <n v="177000"/>
        <n v="45000"/>
        <n v="75000"/>
        <n v="100000"/>
        <n v="110000"/>
        <n v="258000"/>
        <n v="35000"/>
        <n v="378000"/>
        <n v="195000"/>
        <n v="18000"/>
        <n v="945000"/>
        <n v="516000"/>
        <n v="130000"/>
        <n v="25000"/>
        <n v="237000"/>
        <n v="118000"/>
        <n v="36000"/>
        <n v="90000"/>
        <n v="189000"/>
        <n v="156000"/>
        <n v="140000"/>
        <n v="78000"/>
        <n v="105000"/>
        <n v="158000"/>
        <n v="39000"/>
        <n v="756000"/>
        <n v="117000"/>
        <n v="316000"/>
        <n v="236000"/>
        <n v="260000"/>
        <n v="636000"/>
        <n v="125000"/>
        <n v="79000"/>
        <n v="70000"/>
        <n v="175000"/>
        <n v="567000"/>
        <n v="50000"/>
        <n v="159000"/>
        <n v="54000"/>
        <n v="65000"/>
        <n v="325000"/>
        <n v="220000"/>
        <n v="135000"/>
        <n v="395000"/>
        <n v="795000"/>
        <n v="129000"/>
        <n v="72000"/>
        <n v="387000"/>
      </sharedItems>
    </cacheField>
    <cacheField name="Kênh bán" numFmtId="0">
      <sharedItems/>
    </cacheField>
    <cacheField name="Ghi chú" numFmtId="0">
      <sharedItems containsBlank="1"/>
    </cacheField>
    <cacheField name="Doanh thu" numFmtId="0">
      <sharedItems containsSemiMixedTypes="0" containsString="0" containsNumber="1" containsInteger="1" minValue="18000" maxValue="945000"/>
    </cacheField>
    <cacheField name="Months (Ngày bán)" numFmtId="0" databaseField="0">
      <fieldGroup base="1">
        <rangePr groupBy="months" startDate="2023-01-02T00:00:00" endDate="2027-03-25T00:00:00"/>
        <groupItems count="14">
          <s v="&lt;02/01/2023"/>
          <s v="Jan"/>
          <s v="Feb"/>
          <s v="Mar"/>
          <s v="Apr"/>
          <s v="May"/>
          <s v="Jun"/>
          <s v="Jul"/>
          <s v="Aug"/>
          <s v="Sep"/>
          <s v="Oct"/>
          <s v="Nov"/>
          <s v="Dec"/>
          <s v="&gt;25/03/2027"/>
        </groupItems>
      </fieldGroup>
    </cacheField>
    <cacheField name="Quarters (Ngày bán)" numFmtId="0" databaseField="0">
      <fieldGroup base="1">
        <rangePr groupBy="quarters" startDate="2023-01-02T00:00:00" endDate="2027-03-25T00:00:00"/>
        <groupItems count="6">
          <s v="&lt;02/01/2023"/>
          <s v="Qtr1"/>
          <s v="Qtr2"/>
          <s v="Qtr3"/>
          <s v="Qtr4"/>
          <s v="&gt;25/03/2027"/>
        </groupItems>
      </fieldGroup>
    </cacheField>
    <cacheField name="Years (Ngày bán)" numFmtId="0" databaseField="0">
      <fieldGroup base="1">
        <rangePr groupBy="years" startDate="2023-01-02T00:00:00" endDate="2027-03-25T00:00:00"/>
        <groupItems count="7">
          <s v="&lt;02/01/2023"/>
          <s v="2023"/>
          <s v="2024"/>
          <s v="2025"/>
          <s v="2026"/>
          <s v="2027"/>
          <s v="&gt;25/03/2027"/>
        </groupItems>
      </fieldGroup>
    </cacheField>
  </cacheFields>
  <extLst>
    <ext xmlns:x14="http://schemas.microsoft.com/office/spreadsheetml/2009/9/main" uri="{725AE2AE-9491-48be-B2B4-4EB974FC3084}">
      <x14:pivotCacheDefinition pivotCacheId="1065538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QB-240001"/>
    <x v="0"/>
    <x v="0"/>
    <x v="0"/>
    <x v="0"/>
    <x v="0"/>
    <n v="3"/>
    <n v="55000"/>
    <x v="0"/>
    <s v="Tại quán"/>
    <m/>
    <n v="165000"/>
  </r>
  <r>
    <s v="QB-240002"/>
    <x v="1"/>
    <x v="1"/>
    <x v="1"/>
    <x v="1"/>
    <x v="0"/>
    <n v="5"/>
    <n v="45000"/>
    <x v="1"/>
    <s v="Tại quán"/>
    <s v="Thêm tương ớt"/>
    <n v="225000"/>
  </r>
  <r>
    <s v="QB-240003"/>
    <x v="1"/>
    <x v="0"/>
    <x v="0"/>
    <x v="0"/>
    <x v="0"/>
    <n v="1"/>
    <n v="55000"/>
    <x v="2"/>
    <s v="Tại quán"/>
    <m/>
    <n v="55000"/>
  </r>
  <r>
    <s v="QB-240004"/>
    <x v="2"/>
    <x v="2"/>
    <x v="1"/>
    <x v="0"/>
    <x v="0"/>
    <n v="5"/>
    <n v="55000"/>
    <x v="3"/>
    <s v="Tại quán"/>
    <s v="Ít đá"/>
    <n v="275000"/>
  </r>
  <r>
    <s v="QB-240005"/>
    <x v="3"/>
    <x v="3"/>
    <x v="0"/>
    <x v="2"/>
    <x v="1"/>
    <n v="5"/>
    <n v="129000"/>
    <x v="4"/>
    <s v="Grab"/>
    <m/>
    <n v="645000"/>
  </r>
  <r>
    <s v="QB-240006"/>
    <x v="3"/>
    <x v="1"/>
    <x v="1"/>
    <x v="3"/>
    <x v="1"/>
    <n v="3"/>
    <n v="59000"/>
    <x v="5"/>
    <s v="Grab"/>
    <m/>
    <n v="177000"/>
  </r>
  <r>
    <s v="QB-240007"/>
    <x v="4"/>
    <x v="4"/>
    <x v="2"/>
    <x v="1"/>
    <x v="0"/>
    <n v="1"/>
    <n v="45000"/>
    <x v="6"/>
    <s v="Grab"/>
    <m/>
    <n v="45000"/>
  </r>
  <r>
    <s v="QB-240008"/>
    <x v="5"/>
    <x v="4"/>
    <x v="2"/>
    <x v="4"/>
    <x v="2"/>
    <n v="3"/>
    <n v="25000"/>
    <x v="7"/>
    <s v="Tại quán"/>
    <s v="Không hành"/>
    <n v="75000"/>
  </r>
  <r>
    <s v="QB-240009"/>
    <x v="6"/>
    <x v="0"/>
    <x v="0"/>
    <x v="5"/>
    <x v="3"/>
    <n v="4"/>
    <n v="25000"/>
    <x v="8"/>
    <s v="Tại quán"/>
    <s v="Ít đá"/>
    <n v="100000"/>
  </r>
  <r>
    <s v="QB-240010"/>
    <x v="6"/>
    <x v="1"/>
    <x v="1"/>
    <x v="4"/>
    <x v="2"/>
    <n v="3"/>
    <n v="25000"/>
    <x v="7"/>
    <s v="ShopeeFood"/>
    <m/>
    <n v="75000"/>
  </r>
  <r>
    <s v="QB-240011"/>
    <x v="7"/>
    <x v="0"/>
    <x v="0"/>
    <x v="0"/>
    <x v="0"/>
    <n v="2"/>
    <n v="55000"/>
    <x v="9"/>
    <s v="Grab"/>
    <m/>
    <n v="110000"/>
  </r>
  <r>
    <s v="QB-240012"/>
    <x v="8"/>
    <x v="0"/>
    <x v="0"/>
    <x v="3"/>
    <x v="1"/>
    <n v="3"/>
    <n v="59000"/>
    <x v="5"/>
    <s v="Grab"/>
    <s v="Khách VIP"/>
    <n v="177000"/>
  </r>
  <r>
    <s v="QB-240013"/>
    <x v="9"/>
    <x v="4"/>
    <x v="2"/>
    <x v="6"/>
    <x v="4"/>
    <n v="2"/>
    <n v="129000"/>
    <x v="10"/>
    <s v="ShopeeFood"/>
    <m/>
    <n v="258000"/>
  </r>
  <r>
    <s v="QB-240014"/>
    <x v="10"/>
    <x v="1"/>
    <x v="1"/>
    <x v="7"/>
    <x v="2"/>
    <n v="1"/>
    <n v="35000"/>
    <x v="11"/>
    <s v="ShopeeFood"/>
    <m/>
    <n v="35000"/>
  </r>
  <r>
    <s v="QB-240015"/>
    <x v="10"/>
    <x v="1"/>
    <x v="1"/>
    <x v="8"/>
    <x v="4"/>
    <n v="2"/>
    <n v="189000"/>
    <x v="12"/>
    <s v="Grab"/>
    <s v="Giao gấp"/>
    <n v="378000"/>
  </r>
  <r>
    <s v="QB-240016"/>
    <x v="11"/>
    <x v="1"/>
    <x v="1"/>
    <x v="9"/>
    <x v="2"/>
    <n v="5"/>
    <n v="39000"/>
    <x v="13"/>
    <s v="Tại quán"/>
    <s v="Khách VIP"/>
    <n v="195000"/>
  </r>
  <r>
    <s v="QB-240017"/>
    <x v="12"/>
    <x v="3"/>
    <x v="0"/>
    <x v="10"/>
    <x v="3"/>
    <n v="1"/>
    <n v="18000"/>
    <x v="14"/>
    <s v="Grab"/>
    <s v="Giao gấp"/>
    <n v="18000"/>
  </r>
  <r>
    <s v="QB-240018"/>
    <x v="13"/>
    <x v="0"/>
    <x v="0"/>
    <x v="8"/>
    <x v="4"/>
    <n v="5"/>
    <n v="189000"/>
    <x v="15"/>
    <s v="ShopeeFood"/>
    <s v="Khách VIP"/>
    <n v="945000"/>
  </r>
  <r>
    <s v="QB-240019"/>
    <x v="13"/>
    <x v="1"/>
    <x v="1"/>
    <x v="2"/>
    <x v="1"/>
    <n v="4"/>
    <n v="129000"/>
    <x v="16"/>
    <s v="ShopeeFood"/>
    <s v="Không hành"/>
    <n v="516000"/>
  </r>
  <r>
    <s v="QB-240020"/>
    <x v="14"/>
    <x v="4"/>
    <x v="2"/>
    <x v="11"/>
    <x v="0"/>
    <n v="2"/>
    <n v="65000"/>
    <x v="17"/>
    <s v="ShopeeFood"/>
    <s v="Ít đá"/>
    <n v="130000"/>
  </r>
  <r>
    <s v="QB-240021"/>
    <x v="15"/>
    <x v="4"/>
    <x v="2"/>
    <x v="9"/>
    <x v="2"/>
    <n v="5"/>
    <n v="39000"/>
    <x v="13"/>
    <s v="Grab"/>
    <s v="Thêm tương ớt"/>
    <n v="195000"/>
  </r>
  <r>
    <s v="QB-240022"/>
    <x v="16"/>
    <x v="4"/>
    <x v="2"/>
    <x v="8"/>
    <x v="4"/>
    <n v="2"/>
    <n v="189000"/>
    <x v="12"/>
    <s v="ShopeeFood"/>
    <s v="Không hành"/>
    <n v="378000"/>
  </r>
  <r>
    <s v="QB-240023"/>
    <x v="16"/>
    <x v="0"/>
    <x v="0"/>
    <x v="10"/>
    <x v="3"/>
    <n v="1"/>
    <n v="18000"/>
    <x v="14"/>
    <s v="Tại quán"/>
    <m/>
    <n v="18000"/>
  </r>
  <r>
    <s v="QB-240024"/>
    <x v="17"/>
    <x v="5"/>
    <x v="2"/>
    <x v="4"/>
    <x v="2"/>
    <n v="1"/>
    <n v="25000"/>
    <x v="18"/>
    <s v="Grab"/>
    <s v="Giao gấp"/>
    <n v="25000"/>
  </r>
  <r>
    <s v="QB-240025"/>
    <x v="18"/>
    <x v="5"/>
    <x v="2"/>
    <x v="12"/>
    <x v="1"/>
    <n v="3"/>
    <n v="79000"/>
    <x v="19"/>
    <s v="ShopeeFood"/>
    <m/>
    <n v="237000"/>
  </r>
  <r>
    <s v="QB-240026"/>
    <x v="18"/>
    <x v="1"/>
    <x v="1"/>
    <x v="1"/>
    <x v="0"/>
    <n v="5"/>
    <n v="45000"/>
    <x v="1"/>
    <s v="Grab"/>
    <s v="Khách VIP"/>
    <n v="225000"/>
  </r>
  <r>
    <s v="QB-240027"/>
    <x v="19"/>
    <x v="4"/>
    <x v="2"/>
    <x v="3"/>
    <x v="1"/>
    <n v="2"/>
    <n v="59000"/>
    <x v="20"/>
    <s v="Grab"/>
    <m/>
    <n v="118000"/>
  </r>
  <r>
    <s v="QB-240028"/>
    <x v="20"/>
    <x v="2"/>
    <x v="1"/>
    <x v="13"/>
    <x v="3"/>
    <n v="2"/>
    <n v="18000"/>
    <x v="21"/>
    <s v="ShopeeFood"/>
    <m/>
    <n v="36000"/>
  </r>
  <r>
    <s v="QB-240029"/>
    <x v="21"/>
    <x v="4"/>
    <x v="2"/>
    <x v="10"/>
    <x v="3"/>
    <n v="5"/>
    <n v="18000"/>
    <x v="22"/>
    <s v="ShopeeFood"/>
    <m/>
    <n v="90000"/>
  </r>
  <r>
    <s v="QB-240030"/>
    <x v="21"/>
    <x v="4"/>
    <x v="2"/>
    <x v="13"/>
    <x v="3"/>
    <n v="2"/>
    <n v="18000"/>
    <x v="21"/>
    <s v="ShopeeFood"/>
    <s v="Ít đá"/>
    <n v="36000"/>
  </r>
  <r>
    <s v="QB-240031"/>
    <x v="22"/>
    <x v="2"/>
    <x v="1"/>
    <x v="6"/>
    <x v="4"/>
    <n v="4"/>
    <n v="129000"/>
    <x v="16"/>
    <s v="Tại quán"/>
    <m/>
    <n v="516000"/>
  </r>
  <r>
    <s v="QB-240032"/>
    <x v="23"/>
    <x v="4"/>
    <x v="2"/>
    <x v="8"/>
    <x v="4"/>
    <n v="1"/>
    <n v="189000"/>
    <x v="23"/>
    <s v="Tại quán"/>
    <s v="Thêm tương ớt"/>
    <n v="189000"/>
  </r>
  <r>
    <s v="QB-240033"/>
    <x v="24"/>
    <x v="0"/>
    <x v="0"/>
    <x v="9"/>
    <x v="2"/>
    <n v="4"/>
    <n v="39000"/>
    <x v="24"/>
    <s v="Tại quán"/>
    <s v="Ít đá"/>
    <n v="156000"/>
  </r>
  <r>
    <s v="QB-240034"/>
    <x v="24"/>
    <x v="3"/>
    <x v="0"/>
    <x v="7"/>
    <x v="2"/>
    <n v="4"/>
    <n v="35000"/>
    <x v="25"/>
    <s v="ShopeeFood"/>
    <m/>
    <n v="140000"/>
  </r>
  <r>
    <s v="QB-240035"/>
    <x v="25"/>
    <x v="2"/>
    <x v="1"/>
    <x v="10"/>
    <x v="3"/>
    <n v="5"/>
    <n v="18000"/>
    <x v="22"/>
    <s v="Grab"/>
    <m/>
    <n v="90000"/>
  </r>
  <r>
    <s v="QB-240036"/>
    <x v="26"/>
    <x v="1"/>
    <x v="1"/>
    <x v="9"/>
    <x v="2"/>
    <n v="2"/>
    <n v="39000"/>
    <x v="26"/>
    <s v="ShopeeFood"/>
    <m/>
    <n v="78000"/>
  </r>
  <r>
    <s v="QB-240037"/>
    <x v="27"/>
    <x v="1"/>
    <x v="1"/>
    <x v="7"/>
    <x v="2"/>
    <n v="3"/>
    <n v="35000"/>
    <x v="27"/>
    <s v="Grab"/>
    <s v="Ít đá"/>
    <n v="105000"/>
  </r>
  <r>
    <s v="QB-240038"/>
    <x v="27"/>
    <x v="0"/>
    <x v="0"/>
    <x v="8"/>
    <x v="4"/>
    <n v="2"/>
    <n v="189000"/>
    <x v="12"/>
    <s v="Tại quán"/>
    <s v="Khách VIP"/>
    <n v="378000"/>
  </r>
  <r>
    <s v="QB-240039"/>
    <x v="28"/>
    <x v="2"/>
    <x v="1"/>
    <x v="12"/>
    <x v="1"/>
    <n v="2"/>
    <n v="79000"/>
    <x v="28"/>
    <s v="ShopeeFood"/>
    <m/>
    <n v="158000"/>
  </r>
  <r>
    <s v="QB-240040"/>
    <x v="29"/>
    <x v="0"/>
    <x v="0"/>
    <x v="9"/>
    <x v="2"/>
    <n v="1"/>
    <n v="39000"/>
    <x v="29"/>
    <s v="Tại quán"/>
    <m/>
    <n v="39000"/>
  </r>
  <r>
    <s v="QB-240041"/>
    <x v="30"/>
    <x v="4"/>
    <x v="2"/>
    <x v="1"/>
    <x v="0"/>
    <n v="5"/>
    <n v="45000"/>
    <x v="1"/>
    <s v="Tại quán"/>
    <m/>
    <n v="225000"/>
  </r>
  <r>
    <s v="QB-240042"/>
    <x v="30"/>
    <x v="5"/>
    <x v="2"/>
    <x v="8"/>
    <x v="4"/>
    <n v="5"/>
    <n v="189000"/>
    <x v="15"/>
    <s v="Tại quán"/>
    <s v="Thêm tương ớt"/>
    <n v="945000"/>
  </r>
  <r>
    <s v="QB-240043"/>
    <x v="31"/>
    <x v="5"/>
    <x v="2"/>
    <x v="8"/>
    <x v="4"/>
    <n v="4"/>
    <n v="189000"/>
    <x v="30"/>
    <s v="Grab"/>
    <m/>
    <n v="756000"/>
  </r>
  <r>
    <s v="QB-240044"/>
    <x v="32"/>
    <x v="0"/>
    <x v="0"/>
    <x v="7"/>
    <x v="2"/>
    <n v="4"/>
    <n v="35000"/>
    <x v="25"/>
    <s v="Grab"/>
    <s v="Giao gấp"/>
    <n v="140000"/>
  </r>
  <r>
    <s v="QB-240045"/>
    <x v="33"/>
    <x v="5"/>
    <x v="2"/>
    <x v="10"/>
    <x v="3"/>
    <n v="1"/>
    <n v="18000"/>
    <x v="14"/>
    <s v="ShopeeFood"/>
    <m/>
    <n v="18000"/>
  </r>
  <r>
    <s v="QB-240046"/>
    <x v="33"/>
    <x v="5"/>
    <x v="2"/>
    <x v="9"/>
    <x v="2"/>
    <n v="3"/>
    <n v="39000"/>
    <x v="31"/>
    <s v="Tại quán"/>
    <m/>
    <n v="117000"/>
  </r>
  <r>
    <s v="QB-240047"/>
    <x v="34"/>
    <x v="3"/>
    <x v="0"/>
    <x v="12"/>
    <x v="1"/>
    <n v="4"/>
    <n v="79000"/>
    <x v="32"/>
    <s v="Tại quán"/>
    <s v="Giao gấp"/>
    <n v="316000"/>
  </r>
  <r>
    <s v="QB-240048"/>
    <x v="35"/>
    <x v="4"/>
    <x v="2"/>
    <x v="2"/>
    <x v="1"/>
    <n v="2"/>
    <n v="129000"/>
    <x v="10"/>
    <s v="Tại quán"/>
    <s v="Không hành"/>
    <n v="258000"/>
  </r>
  <r>
    <s v="QB-240049"/>
    <x v="36"/>
    <x v="0"/>
    <x v="0"/>
    <x v="0"/>
    <x v="0"/>
    <n v="5"/>
    <n v="55000"/>
    <x v="3"/>
    <s v="Tại quán"/>
    <m/>
    <n v="275000"/>
  </r>
  <r>
    <s v="QB-240050"/>
    <x v="37"/>
    <x v="3"/>
    <x v="0"/>
    <x v="3"/>
    <x v="1"/>
    <n v="4"/>
    <n v="59000"/>
    <x v="33"/>
    <s v="Grab"/>
    <m/>
    <n v="236000"/>
  </r>
  <r>
    <s v="QB-240051"/>
    <x v="37"/>
    <x v="0"/>
    <x v="0"/>
    <x v="11"/>
    <x v="0"/>
    <n v="4"/>
    <n v="65000"/>
    <x v="34"/>
    <s v="Tại quán"/>
    <s v="Giao gấp"/>
    <n v="260000"/>
  </r>
  <r>
    <s v="QB-240052"/>
    <x v="38"/>
    <x v="5"/>
    <x v="2"/>
    <x v="14"/>
    <x v="4"/>
    <n v="4"/>
    <n v="159000"/>
    <x v="35"/>
    <s v="ShopeeFood"/>
    <s v="Ít đá"/>
    <n v="636000"/>
  </r>
  <r>
    <s v="QB-240053"/>
    <x v="39"/>
    <x v="1"/>
    <x v="1"/>
    <x v="2"/>
    <x v="1"/>
    <n v="2"/>
    <n v="129000"/>
    <x v="10"/>
    <s v="Tại quán"/>
    <m/>
    <n v="258000"/>
  </r>
  <r>
    <s v="QB-240054"/>
    <x v="40"/>
    <x v="0"/>
    <x v="0"/>
    <x v="4"/>
    <x v="2"/>
    <n v="5"/>
    <n v="25000"/>
    <x v="36"/>
    <s v="Tại quán"/>
    <s v="Khách VIP"/>
    <n v="125000"/>
  </r>
  <r>
    <s v="QB-240055"/>
    <x v="40"/>
    <x v="0"/>
    <x v="0"/>
    <x v="4"/>
    <x v="2"/>
    <n v="4"/>
    <n v="25000"/>
    <x v="8"/>
    <s v="ShopeeFood"/>
    <s v="Ít đá"/>
    <n v="100000"/>
  </r>
  <r>
    <s v="QB-240056"/>
    <x v="41"/>
    <x v="0"/>
    <x v="0"/>
    <x v="12"/>
    <x v="1"/>
    <n v="1"/>
    <n v="79000"/>
    <x v="37"/>
    <s v="Tại quán"/>
    <m/>
    <n v="79000"/>
  </r>
  <r>
    <s v="QB-240057"/>
    <x v="42"/>
    <x v="0"/>
    <x v="0"/>
    <x v="7"/>
    <x v="2"/>
    <n v="2"/>
    <n v="35000"/>
    <x v="38"/>
    <s v="Grab"/>
    <m/>
    <n v="70000"/>
  </r>
  <r>
    <s v="QB-240058"/>
    <x v="43"/>
    <x v="3"/>
    <x v="0"/>
    <x v="4"/>
    <x v="2"/>
    <n v="5"/>
    <n v="25000"/>
    <x v="36"/>
    <s v="Tại quán"/>
    <s v="Thêm tương ớt"/>
    <n v="125000"/>
  </r>
  <r>
    <s v="QB-240059"/>
    <x v="44"/>
    <x v="5"/>
    <x v="2"/>
    <x v="7"/>
    <x v="2"/>
    <n v="5"/>
    <n v="35000"/>
    <x v="39"/>
    <s v="ShopeeFood"/>
    <s v="Ít đá"/>
    <n v="175000"/>
  </r>
  <r>
    <s v="QB-240060"/>
    <x v="45"/>
    <x v="4"/>
    <x v="2"/>
    <x v="8"/>
    <x v="4"/>
    <n v="3"/>
    <n v="189000"/>
    <x v="40"/>
    <s v="Tại quán"/>
    <m/>
    <n v="567000"/>
  </r>
  <r>
    <s v="QB-240061"/>
    <x v="45"/>
    <x v="3"/>
    <x v="0"/>
    <x v="7"/>
    <x v="2"/>
    <n v="3"/>
    <n v="35000"/>
    <x v="27"/>
    <s v="Grab"/>
    <s v="Khách VIP"/>
    <n v="105000"/>
  </r>
  <r>
    <s v="QB-240062"/>
    <x v="46"/>
    <x v="0"/>
    <x v="0"/>
    <x v="2"/>
    <x v="1"/>
    <n v="5"/>
    <n v="129000"/>
    <x v="4"/>
    <s v="ShopeeFood"/>
    <m/>
    <n v="645000"/>
  </r>
  <r>
    <s v="QB-240063"/>
    <x v="47"/>
    <x v="2"/>
    <x v="1"/>
    <x v="8"/>
    <x v="4"/>
    <n v="5"/>
    <n v="189000"/>
    <x v="15"/>
    <s v="Grab"/>
    <m/>
    <n v="945000"/>
  </r>
  <r>
    <s v="QB-240064"/>
    <x v="48"/>
    <x v="0"/>
    <x v="0"/>
    <x v="5"/>
    <x v="3"/>
    <n v="2"/>
    <n v="25000"/>
    <x v="41"/>
    <s v="Grab"/>
    <m/>
    <n v="50000"/>
  </r>
  <r>
    <s v="QB-240065"/>
    <x v="49"/>
    <x v="5"/>
    <x v="2"/>
    <x v="10"/>
    <x v="3"/>
    <n v="5"/>
    <n v="18000"/>
    <x v="22"/>
    <s v="ShopeeFood"/>
    <m/>
    <n v="90000"/>
  </r>
  <r>
    <s v="QB-240066"/>
    <x v="50"/>
    <x v="1"/>
    <x v="1"/>
    <x v="12"/>
    <x v="1"/>
    <n v="1"/>
    <n v="79000"/>
    <x v="37"/>
    <s v="ShopeeFood"/>
    <s v="Ít đá"/>
    <n v="79000"/>
  </r>
  <r>
    <s v="QB-240067"/>
    <x v="51"/>
    <x v="1"/>
    <x v="1"/>
    <x v="1"/>
    <x v="0"/>
    <n v="2"/>
    <n v="45000"/>
    <x v="22"/>
    <s v="Grab"/>
    <m/>
    <n v="90000"/>
  </r>
  <r>
    <s v="QB-240068"/>
    <x v="52"/>
    <x v="1"/>
    <x v="1"/>
    <x v="12"/>
    <x v="1"/>
    <n v="2"/>
    <n v="79000"/>
    <x v="28"/>
    <s v="Grab"/>
    <m/>
    <n v="158000"/>
  </r>
  <r>
    <s v="QB-240069"/>
    <x v="52"/>
    <x v="3"/>
    <x v="0"/>
    <x v="9"/>
    <x v="2"/>
    <n v="3"/>
    <n v="39000"/>
    <x v="31"/>
    <s v="Tại quán"/>
    <m/>
    <n v="117000"/>
  </r>
  <r>
    <s v="QB-240070"/>
    <x v="53"/>
    <x v="5"/>
    <x v="2"/>
    <x v="14"/>
    <x v="4"/>
    <n v="1"/>
    <n v="159000"/>
    <x v="42"/>
    <s v="Tại quán"/>
    <s v="Giao gấp"/>
    <n v="159000"/>
  </r>
  <r>
    <s v="QB-240071"/>
    <x v="54"/>
    <x v="0"/>
    <x v="0"/>
    <x v="0"/>
    <x v="0"/>
    <n v="3"/>
    <n v="55000"/>
    <x v="0"/>
    <s v="Tại quán"/>
    <m/>
    <n v="165000"/>
  </r>
  <r>
    <s v="QB-240072"/>
    <x v="55"/>
    <x v="1"/>
    <x v="1"/>
    <x v="2"/>
    <x v="1"/>
    <n v="5"/>
    <n v="129000"/>
    <x v="4"/>
    <s v="ShopeeFood"/>
    <s v="Giao gấp"/>
    <n v="645000"/>
  </r>
  <r>
    <s v="QB-240073"/>
    <x v="55"/>
    <x v="0"/>
    <x v="0"/>
    <x v="1"/>
    <x v="0"/>
    <n v="1"/>
    <n v="45000"/>
    <x v="6"/>
    <s v="ShopeeFood"/>
    <m/>
    <n v="45000"/>
  </r>
  <r>
    <s v="QB-240074"/>
    <x v="56"/>
    <x v="0"/>
    <x v="0"/>
    <x v="10"/>
    <x v="3"/>
    <n v="3"/>
    <n v="18000"/>
    <x v="43"/>
    <s v="ShopeeFood"/>
    <s v="Ít đá"/>
    <n v="54000"/>
  </r>
  <r>
    <s v="QB-240075"/>
    <x v="57"/>
    <x v="5"/>
    <x v="2"/>
    <x v="11"/>
    <x v="0"/>
    <n v="1"/>
    <n v="65000"/>
    <x v="44"/>
    <s v="Grab"/>
    <s v="Khách VIP"/>
    <n v="65000"/>
  </r>
  <r>
    <s v="QB-240076"/>
    <x v="58"/>
    <x v="4"/>
    <x v="2"/>
    <x v="8"/>
    <x v="4"/>
    <n v="2"/>
    <n v="189000"/>
    <x v="12"/>
    <s v="ShopeeFood"/>
    <m/>
    <n v="378000"/>
  </r>
  <r>
    <s v="QB-240077"/>
    <x v="58"/>
    <x v="2"/>
    <x v="1"/>
    <x v="5"/>
    <x v="3"/>
    <n v="4"/>
    <n v="25000"/>
    <x v="8"/>
    <s v="ShopeeFood"/>
    <m/>
    <n v="100000"/>
  </r>
  <r>
    <s v="QB-240078"/>
    <x v="59"/>
    <x v="3"/>
    <x v="0"/>
    <x v="13"/>
    <x v="3"/>
    <n v="2"/>
    <n v="18000"/>
    <x v="21"/>
    <s v="Grab"/>
    <m/>
    <n v="36000"/>
  </r>
  <r>
    <s v="QB-240079"/>
    <x v="60"/>
    <x v="1"/>
    <x v="1"/>
    <x v="5"/>
    <x v="3"/>
    <n v="3"/>
    <n v="25000"/>
    <x v="7"/>
    <s v="Grab"/>
    <m/>
    <n v="75000"/>
  </r>
  <r>
    <s v="QB-240080"/>
    <x v="61"/>
    <x v="3"/>
    <x v="0"/>
    <x v="13"/>
    <x v="3"/>
    <n v="1"/>
    <n v="18000"/>
    <x v="14"/>
    <s v="Grab"/>
    <m/>
    <n v="18000"/>
  </r>
  <r>
    <s v="QB-240081"/>
    <x v="61"/>
    <x v="3"/>
    <x v="0"/>
    <x v="8"/>
    <x v="4"/>
    <n v="4"/>
    <n v="189000"/>
    <x v="30"/>
    <s v="Grab"/>
    <m/>
    <n v="756000"/>
  </r>
  <r>
    <s v="QB-240082"/>
    <x v="62"/>
    <x v="3"/>
    <x v="0"/>
    <x v="0"/>
    <x v="0"/>
    <n v="2"/>
    <n v="55000"/>
    <x v="9"/>
    <s v="Grab"/>
    <s v="Khách VIP"/>
    <n v="110000"/>
  </r>
  <r>
    <s v="QB-240083"/>
    <x v="63"/>
    <x v="0"/>
    <x v="0"/>
    <x v="13"/>
    <x v="3"/>
    <n v="3"/>
    <n v="18000"/>
    <x v="43"/>
    <s v="Grab"/>
    <s v="Ít đá"/>
    <n v="54000"/>
  </r>
  <r>
    <s v="QB-240084"/>
    <x v="64"/>
    <x v="1"/>
    <x v="1"/>
    <x v="10"/>
    <x v="3"/>
    <n v="5"/>
    <n v="18000"/>
    <x v="22"/>
    <s v="Grab"/>
    <m/>
    <n v="90000"/>
  </r>
  <r>
    <s v="QB-240085"/>
    <x v="65"/>
    <x v="4"/>
    <x v="2"/>
    <x v="11"/>
    <x v="0"/>
    <n v="5"/>
    <n v="65000"/>
    <x v="45"/>
    <s v="Grab"/>
    <m/>
    <n v="325000"/>
  </r>
  <r>
    <s v="QB-240086"/>
    <x v="65"/>
    <x v="2"/>
    <x v="1"/>
    <x v="3"/>
    <x v="1"/>
    <n v="3"/>
    <n v="59000"/>
    <x v="5"/>
    <s v="ShopeeFood"/>
    <s v="Khách VIP"/>
    <n v="177000"/>
  </r>
  <r>
    <s v="QB-240087"/>
    <x v="65"/>
    <x v="2"/>
    <x v="1"/>
    <x v="12"/>
    <x v="1"/>
    <n v="1"/>
    <n v="79000"/>
    <x v="37"/>
    <s v="Grab"/>
    <s v="Thêm tương ớt"/>
    <n v="79000"/>
  </r>
  <r>
    <s v="QB-240088"/>
    <x v="66"/>
    <x v="4"/>
    <x v="2"/>
    <x v="0"/>
    <x v="0"/>
    <n v="4"/>
    <n v="55000"/>
    <x v="46"/>
    <s v="Tại quán"/>
    <s v="Ít đá"/>
    <n v="220000"/>
  </r>
  <r>
    <s v="QB-240089"/>
    <x v="67"/>
    <x v="1"/>
    <x v="1"/>
    <x v="9"/>
    <x v="2"/>
    <n v="2"/>
    <n v="39000"/>
    <x v="26"/>
    <s v="Grab"/>
    <s v="Giao gấp"/>
    <n v="78000"/>
  </r>
  <r>
    <s v="QB-240090"/>
    <x v="68"/>
    <x v="1"/>
    <x v="1"/>
    <x v="5"/>
    <x v="3"/>
    <n v="3"/>
    <n v="25000"/>
    <x v="7"/>
    <s v="ShopeeFood"/>
    <s v="Khách VIP"/>
    <n v="75000"/>
  </r>
  <r>
    <s v="QB-240091"/>
    <x v="68"/>
    <x v="0"/>
    <x v="0"/>
    <x v="9"/>
    <x v="2"/>
    <n v="3"/>
    <n v="39000"/>
    <x v="31"/>
    <s v="ShopeeFood"/>
    <m/>
    <n v="117000"/>
  </r>
  <r>
    <s v="QB-240092"/>
    <x v="69"/>
    <x v="5"/>
    <x v="2"/>
    <x v="6"/>
    <x v="4"/>
    <n v="4"/>
    <n v="129000"/>
    <x v="16"/>
    <s v="ShopeeFood"/>
    <m/>
    <n v="516000"/>
  </r>
  <r>
    <s v="QB-240093"/>
    <x v="70"/>
    <x v="3"/>
    <x v="0"/>
    <x v="8"/>
    <x v="4"/>
    <n v="4"/>
    <n v="189000"/>
    <x v="30"/>
    <s v="ShopeeFood"/>
    <s v="Giao gấp"/>
    <n v="756000"/>
  </r>
  <r>
    <s v="QB-240094"/>
    <x v="71"/>
    <x v="1"/>
    <x v="1"/>
    <x v="5"/>
    <x v="3"/>
    <n v="2"/>
    <n v="25000"/>
    <x v="41"/>
    <s v="ShopeeFood"/>
    <s v="Thêm tương ớt"/>
    <n v="50000"/>
  </r>
  <r>
    <s v="QB-240095"/>
    <x v="72"/>
    <x v="5"/>
    <x v="2"/>
    <x v="12"/>
    <x v="1"/>
    <n v="1"/>
    <n v="79000"/>
    <x v="37"/>
    <s v="Grab"/>
    <m/>
    <n v="79000"/>
  </r>
  <r>
    <s v="QB-240096"/>
    <x v="73"/>
    <x v="5"/>
    <x v="2"/>
    <x v="13"/>
    <x v="3"/>
    <n v="5"/>
    <n v="18000"/>
    <x v="22"/>
    <s v="ShopeeFood"/>
    <s v="Khách VIP"/>
    <n v="90000"/>
  </r>
  <r>
    <s v="QB-240097"/>
    <x v="73"/>
    <x v="5"/>
    <x v="2"/>
    <x v="2"/>
    <x v="1"/>
    <n v="2"/>
    <n v="129000"/>
    <x v="10"/>
    <s v="ShopeeFood"/>
    <s v="Không hành"/>
    <n v="258000"/>
  </r>
  <r>
    <s v="QB-240098"/>
    <x v="74"/>
    <x v="1"/>
    <x v="1"/>
    <x v="1"/>
    <x v="0"/>
    <n v="3"/>
    <n v="45000"/>
    <x v="47"/>
    <s v="ShopeeFood"/>
    <s v="Thêm tương ớt"/>
    <n v="135000"/>
  </r>
  <r>
    <s v="QB-240099"/>
    <x v="75"/>
    <x v="0"/>
    <x v="0"/>
    <x v="10"/>
    <x v="3"/>
    <n v="2"/>
    <n v="18000"/>
    <x v="21"/>
    <s v="ShopeeFood"/>
    <m/>
    <n v="36000"/>
  </r>
  <r>
    <s v="QB-240100"/>
    <x v="76"/>
    <x v="3"/>
    <x v="0"/>
    <x v="11"/>
    <x v="0"/>
    <n v="1"/>
    <n v="65000"/>
    <x v="44"/>
    <s v="Tại quán"/>
    <m/>
    <n v="65000"/>
  </r>
  <r>
    <s v="QB-240101"/>
    <x v="77"/>
    <x v="2"/>
    <x v="1"/>
    <x v="10"/>
    <x v="3"/>
    <n v="1"/>
    <n v="18000"/>
    <x v="14"/>
    <s v="Grab"/>
    <s v="Giao gấp"/>
    <n v="18000"/>
  </r>
  <r>
    <s v="QB-240102"/>
    <x v="78"/>
    <x v="2"/>
    <x v="1"/>
    <x v="8"/>
    <x v="4"/>
    <n v="4"/>
    <n v="189000"/>
    <x v="30"/>
    <s v="Grab"/>
    <s v="Giao gấp"/>
    <n v="756000"/>
  </r>
  <r>
    <s v="QB-240103"/>
    <x v="79"/>
    <x v="3"/>
    <x v="0"/>
    <x v="7"/>
    <x v="2"/>
    <n v="1"/>
    <n v="35000"/>
    <x v="11"/>
    <s v="Tại quán"/>
    <s v="Giao gấp"/>
    <n v="35000"/>
  </r>
  <r>
    <s v="QB-240104"/>
    <x v="80"/>
    <x v="3"/>
    <x v="0"/>
    <x v="13"/>
    <x v="3"/>
    <n v="5"/>
    <n v="18000"/>
    <x v="22"/>
    <s v="Grab"/>
    <m/>
    <n v="90000"/>
  </r>
  <r>
    <s v="QB-240105"/>
    <x v="81"/>
    <x v="3"/>
    <x v="0"/>
    <x v="5"/>
    <x v="3"/>
    <n v="1"/>
    <n v="25000"/>
    <x v="18"/>
    <s v="Grab"/>
    <m/>
    <n v="25000"/>
  </r>
  <r>
    <s v="QB-240106"/>
    <x v="6"/>
    <x v="1"/>
    <x v="1"/>
    <x v="12"/>
    <x v="1"/>
    <n v="5"/>
    <n v="79000"/>
    <x v="48"/>
    <s v="ShopeeFood"/>
    <s v="Khách VIP"/>
    <n v="395000"/>
  </r>
  <r>
    <s v="QB-240107"/>
    <x v="30"/>
    <x v="2"/>
    <x v="1"/>
    <x v="10"/>
    <x v="3"/>
    <n v="5"/>
    <n v="18000"/>
    <x v="22"/>
    <s v="Grab"/>
    <s v="Ít đá"/>
    <n v="90000"/>
  </r>
  <r>
    <s v="QB-240108"/>
    <x v="58"/>
    <x v="3"/>
    <x v="0"/>
    <x v="9"/>
    <x v="2"/>
    <n v="4"/>
    <n v="39000"/>
    <x v="24"/>
    <s v="Grab"/>
    <m/>
    <n v="156000"/>
  </r>
  <r>
    <s v="QB-240109"/>
    <x v="82"/>
    <x v="1"/>
    <x v="1"/>
    <x v="14"/>
    <x v="4"/>
    <n v="5"/>
    <n v="159000"/>
    <x v="49"/>
    <s v="Grab"/>
    <m/>
    <n v="795000"/>
  </r>
  <r>
    <s v="QB-240110"/>
    <x v="83"/>
    <x v="5"/>
    <x v="2"/>
    <x v="1"/>
    <x v="0"/>
    <n v="3"/>
    <n v="45000"/>
    <x v="47"/>
    <s v="Tại quán"/>
    <m/>
    <n v="135000"/>
  </r>
  <r>
    <s v="QB-240111"/>
    <x v="84"/>
    <x v="4"/>
    <x v="2"/>
    <x v="5"/>
    <x v="3"/>
    <n v="5"/>
    <n v="25000"/>
    <x v="36"/>
    <s v="Tại quán"/>
    <m/>
    <n v="125000"/>
  </r>
  <r>
    <s v="QB-240112"/>
    <x v="85"/>
    <x v="3"/>
    <x v="0"/>
    <x v="3"/>
    <x v="1"/>
    <n v="2"/>
    <n v="59000"/>
    <x v="20"/>
    <s v="ShopeeFood"/>
    <m/>
    <n v="118000"/>
  </r>
  <r>
    <s v="QB-240113"/>
    <x v="85"/>
    <x v="5"/>
    <x v="2"/>
    <x v="3"/>
    <x v="1"/>
    <n v="3"/>
    <n v="59000"/>
    <x v="5"/>
    <s v="ShopeeFood"/>
    <s v="Không hành"/>
    <n v="177000"/>
  </r>
  <r>
    <s v="QB-240114"/>
    <x v="86"/>
    <x v="0"/>
    <x v="0"/>
    <x v="8"/>
    <x v="4"/>
    <n v="4"/>
    <n v="189000"/>
    <x v="30"/>
    <s v="Grab"/>
    <s v="Thêm tương ớt"/>
    <n v="756000"/>
  </r>
  <r>
    <s v="QB-240115"/>
    <x v="87"/>
    <x v="0"/>
    <x v="0"/>
    <x v="10"/>
    <x v="3"/>
    <n v="5"/>
    <n v="18000"/>
    <x v="22"/>
    <s v="Grab"/>
    <s v="Không hành"/>
    <n v="90000"/>
  </r>
  <r>
    <s v="QB-240116"/>
    <x v="88"/>
    <x v="4"/>
    <x v="2"/>
    <x v="14"/>
    <x v="4"/>
    <n v="4"/>
    <n v="159000"/>
    <x v="35"/>
    <s v="Grab"/>
    <s v="Ít đá"/>
    <n v="636000"/>
  </r>
  <r>
    <s v="QB-240117"/>
    <x v="89"/>
    <x v="2"/>
    <x v="1"/>
    <x v="5"/>
    <x v="3"/>
    <n v="2"/>
    <n v="25000"/>
    <x v="41"/>
    <s v="Grab"/>
    <m/>
    <n v="50000"/>
  </r>
  <r>
    <s v="QB-240118"/>
    <x v="89"/>
    <x v="5"/>
    <x v="2"/>
    <x v="2"/>
    <x v="1"/>
    <n v="1"/>
    <n v="129000"/>
    <x v="50"/>
    <s v="Grab"/>
    <s v="Khách VIP"/>
    <n v="129000"/>
  </r>
  <r>
    <s v="QB-240119"/>
    <x v="90"/>
    <x v="1"/>
    <x v="1"/>
    <x v="13"/>
    <x v="3"/>
    <n v="4"/>
    <n v="18000"/>
    <x v="51"/>
    <s v="ShopeeFood"/>
    <m/>
    <n v="72000"/>
  </r>
  <r>
    <s v="QB-240120"/>
    <x v="91"/>
    <x v="3"/>
    <x v="0"/>
    <x v="4"/>
    <x v="2"/>
    <n v="5"/>
    <n v="25000"/>
    <x v="36"/>
    <s v="Tại quán"/>
    <s v="Giao gấp"/>
    <n v="125000"/>
  </r>
  <r>
    <s v="QB-240121"/>
    <x v="92"/>
    <x v="2"/>
    <x v="1"/>
    <x v="7"/>
    <x v="2"/>
    <n v="1"/>
    <n v="35000"/>
    <x v="11"/>
    <s v="Tại quán"/>
    <s v="Giao gấp"/>
    <n v="35000"/>
  </r>
  <r>
    <s v="QB-240122"/>
    <x v="92"/>
    <x v="5"/>
    <x v="2"/>
    <x v="11"/>
    <x v="0"/>
    <n v="1"/>
    <n v="65000"/>
    <x v="44"/>
    <s v="Grab"/>
    <s v="Giao gấp"/>
    <n v="65000"/>
  </r>
  <r>
    <s v="QB-240123"/>
    <x v="93"/>
    <x v="3"/>
    <x v="0"/>
    <x v="2"/>
    <x v="1"/>
    <n v="3"/>
    <n v="129000"/>
    <x v="52"/>
    <s v="Grab"/>
    <s v="Giao gấp"/>
    <n v="387000"/>
  </r>
  <r>
    <s v="QB-240124"/>
    <x v="94"/>
    <x v="5"/>
    <x v="2"/>
    <x v="14"/>
    <x v="4"/>
    <n v="1"/>
    <n v="159000"/>
    <x v="42"/>
    <s v="Grab"/>
    <m/>
    <n v="159000"/>
  </r>
  <r>
    <s v="QB-240125"/>
    <x v="95"/>
    <x v="0"/>
    <x v="0"/>
    <x v="6"/>
    <x v="4"/>
    <n v="2"/>
    <n v="129000"/>
    <x v="10"/>
    <s v="ShopeeFood"/>
    <m/>
    <n v="258000"/>
  </r>
  <r>
    <s v="QB-240126"/>
    <x v="96"/>
    <x v="0"/>
    <x v="0"/>
    <x v="13"/>
    <x v="3"/>
    <n v="1"/>
    <n v="18000"/>
    <x v="14"/>
    <s v="Tại quán"/>
    <m/>
    <n v="18000"/>
  </r>
  <r>
    <s v="QB-240127"/>
    <x v="97"/>
    <x v="2"/>
    <x v="1"/>
    <x v="11"/>
    <x v="0"/>
    <n v="2"/>
    <n v="65000"/>
    <x v="17"/>
    <s v="Tại quán"/>
    <s v="Không hành"/>
    <n v="130000"/>
  </r>
  <r>
    <s v="QB-240128"/>
    <x v="97"/>
    <x v="0"/>
    <x v="0"/>
    <x v="4"/>
    <x v="2"/>
    <n v="2"/>
    <n v="25000"/>
    <x v="41"/>
    <s v="Grab"/>
    <m/>
    <n v="50000"/>
  </r>
  <r>
    <s v="QB-240129"/>
    <x v="98"/>
    <x v="3"/>
    <x v="0"/>
    <x v="4"/>
    <x v="2"/>
    <n v="5"/>
    <n v="25000"/>
    <x v="36"/>
    <s v="ShopeeFood"/>
    <m/>
    <n v="125000"/>
  </r>
  <r>
    <s v="QB-240130"/>
    <x v="99"/>
    <x v="4"/>
    <x v="2"/>
    <x v="1"/>
    <x v="0"/>
    <n v="5"/>
    <n v="45000"/>
    <x v="1"/>
    <s v="Tại quán"/>
    <m/>
    <n v="225000"/>
  </r>
  <r>
    <s v="QB-240131"/>
    <x v="100"/>
    <x v="1"/>
    <x v="1"/>
    <x v="5"/>
    <x v="3"/>
    <n v="4"/>
    <n v="25000"/>
    <x v="8"/>
    <s v="Grab"/>
    <m/>
    <n v="100000"/>
  </r>
  <r>
    <s v="QB-240132"/>
    <x v="101"/>
    <x v="2"/>
    <x v="1"/>
    <x v="9"/>
    <x v="2"/>
    <n v="2"/>
    <n v="39000"/>
    <x v="26"/>
    <s v="Tại quán"/>
    <m/>
    <n v="78000"/>
  </r>
  <r>
    <s v="QB-240133"/>
    <x v="102"/>
    <x v="2"/>
    <x v="1"/>
    <x v="13"/>
    <x v="3"/>
    <n v="1"/>
    <n v="18000"/>
    <x v="14"/>
    <s v="ShopeeFood"/>
    <m/>
    <n v="18000"/>
  </r>
  <r>
    <s v="QB-240134"/>
    <x v="103"/>
    <x v="2"/>
    <x v="1"/>
    <x v="3"/>
    <x v="1"/>
    <n v="3"/>
    <n v="59000"/>
    <x v="5"/>
    <s v="Tại quán"/>
    <s v="Ít đá"/>
    <n v="177000"/>
  </r>
  <r>
    <s v="QB-240135"/>
    <x v="104"/>
    <x v="4"/>
    <x v="2"/>
    <x v="0"/>
    <x v="0"/>
    <n v="4"/>
    <n v="55000"/>
    <x v="46"/>
    <s v="Grab"/>
    <m/>
    <n v="220000"/>
  </r>
  <r>
    <s v="QB-240136"/>
    <x v="105"/>
    <x v="4"/>
    <x v="2"/>
    <x v="7"/>
    <x v="2"/>
    <n v="4"/>
    <n v="35000"/>
    <x v="25"/>
    <s v="ShopeeFood"/>
    <m/>
    <n v="140000"/>
  </r>
  <r>
    <s v="QB-240137"/>
    <x v="106"/>
    <x v="3"/>
    <x v="0"/>
    <x v="9"/>
    <x v="2"/>
    <n v="5"/>
    <n v="39000"/>
    <x v="13"/>
    <s v="ShopeeFood"/>
    <m/>
    <n v="195000"/>
  </r>
  <r>
    <s v="QB-240138"/>
    <x v="107"/>
    <x v="2"/>
    <x v="1"/>
    <x v="13"/>
    <x v="3"/>
    <n v="4"/>
    <n v="18000"/>
    <x v="51"/>
    <s v="Grab"/>
    <s v="Giao gấp"/>
    <n v="72000"/>
  </r>
  <r>
    <s v="QB-240139"/>
    <x v="108"/>
    <x v="4"/>
    <x v="2"/>
    <x v="6"/>
    <x v="4"/>
    <n v="2"/>
    <n v="129000"/>
    <x v="10"/>
    <s v="Tại quán"/>
    <m/>
    <n v="258000"/>
  </r>
  <r>
    <s v="QB-240140"/>
    <x v="109"/>
    <x v="3"/>
    <x v="0"/>
    <x v="13"/>
    <x v="3"/>
    <n v="4"/>
    <n v="18000"/>
    <x v="51"/>
    <s v="ShopeeFood"/>
    <s v="Thêm tương ớt"/>
    <n v="72000"/>
  </r>
  <r>
    <s v="QB-240141"/>
    <x v="110"/>
    <x v="5"/>
    <x v="2"/>
    <x v="6"/>
    <x v="4"/>
    <n v="1"/>
    <n v="129000"/>
    <x v="50"/>
    <s v="Grab"/>
    <s v="Khách VIP"/>
    <n v="129000"/>
  </r>
  <r>
    <s v="QB-240142"/>
    <x v="111"/>
    <x v="5"/>
    <x v="2"/>
    <x v="8"/>
    <x v="4"/>
    <n v="3"/>
    <n v="189000"/>
    <x v="40"/>
    <s v="Grab"/>
    <s v="Khách VIP"/>
    <n v="567000"/>
  </r>
  <r>
    <s v="QB-240143"/>
    <x v="112"/>
    <x v="2"/>
    <x v="1"/>
    <x v="9"/>
    <x v="2"/>
    <n v="3"/>
    <n v="39000"/>
    <x v="31"/>
    <s v="ShopeeFood"/>
    <m/>
    <n v="117000"/>
  </r>
  <r>
    <s v="QB-240144"/>
    <x v="113"/>
    <x v="3"/>
    <x v="0"/>
    <x v="1"/>
    <x v="0"/>
    <n v="2"/>
    <n v="45000"/>
    <x v="22"/>
    <s v="ShopeeFood"/>
    <s v="Giao gấp"/>
    <n v="90000"/>
  </r>
  <r>
    <s v="QB-240145"/>
    <x v="114"/>
    <x v="2"/>
    <x v="1"/>
    <x v="13"/>
    <x v="3"/>
    <n v="2"/>
    <n v="18000"/>
    <x v="21"/>
    <s v="ShopeeFood"/>
    <s v="Không hành"/>
    <n v="36000"/>
  </r>
  <r>
    <s v="QB-240146"/>
    <x v="115"/>
    <x v="1"/>
    <x v="1"/>
    <x v="2"/>
    <x v="1"/>
    <n v="4"/>
    <n v="129000"/>
    <x v="16"/>
    <s v="Tại quán"/>
    <m/>
    <n v="516000"/>
  </r>
  <r>
    <s v="QB-240147"/>
    <x v="116"/>
    <x v="3"/>
    <x v="0"/>
    <x v="3"/>
    <x v="1"/>
    <n v="2"/>
    <n v="59000"/>
    <x v="20"/>
    <s v="Grab"/>
    <s v="Thêm tương ớt"/>
    <n v="118000"/>
  </r>
  <r>
    <s v="QB-240148"/>
    <x v="117"/>
    <x v="5"/>
    <x v="2"/>
    <x v="12"/>
    <x v="1"/>
    <n v="5"/>
    <n v="79000"/>
    <x v="48"/>
    <s v="Grab"/>
    <s v="Giao gấp"/>
    <n v="395000"/>
  </r>
  <r>
    <s v="QB-240149"/>
    <x v="118"/>
    <x v="4"/>
    <x v="2"/>
    <x v="6"/>
    <x v="4"/>
    <n v="4"/>
    <n v="129000"/>
    <x v="16"/>
    <s v="Grab"/>
    <m/>
    <n v="516000"/>
  </r>
  <r>
    <s v="QB-240150"/>
    <x v="119"/>
    <x v="3"/>
    <x v="0"/>
    <x v="1"/>
    <x v="0"/>
    <n v="2"/>
    <n v="45000"/>
    <x v="22"/>
    <s v="Grab"/>
    <m/>
    <n v="9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ABCC85-73D1-4D84-A8F0-234E84DD69C5}"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20" firstHeaderRow="1" firstDataRow="1" firstDataCol="1"/>
  <pivotFields count="15">
    <pivotField showAll="0"/>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79"/>
        <item x="80"/>
        <item x="81"/>
        <item x="75"/>
        <item x="76"/>
        <item x="77"/>
        <item x="78"/>
        <item t="default"/>
      </items>
    </pivotField>
    <pivotField showAll="0"/>
    <pivotField axis="axisRow" showAll="0">
      <items count="4">
        <item x="2"/>
        <item x="0"/>
        <item x="1"/>
        <item t="default"/>
      </items>
    </pivotField>
    <pivotField showAll="0"/>
    <pivotField showAll="0"/>
    <pivotField dataField="1" showAll="0"/>
    <pivotField numFmtId="3" showAll="0"/>
    <pivotField numFmtId="3"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3"/>
  </rowFields>
  <rowItems count="4">
    <i>
      <x/>
    </i>
    <i>
      <x v="1"/>
    </i>
    <i>
      <x v="2"/>
    </i>
    <i t="grand">
      <x/>
    </i>
  </rowItems>
  <colItems count="1">
    <i/>
  </colItems>
  <dataFields count="1">
    <dataField name="Sum of Số lượng" fld="6"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60E0E5-F010-4712-A575-A427D1CF2CBF}"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B14" firstHeaderRow="1" firstDataRow="1" firstDataCol="1"/>
  <pivotFields count="15">
    <pivotField showAll="0"/>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79"/>
        <item x="80"/>
        <item x="81"/>
        <item x="75"/>
        <item x="76"/>
        <item x="77"/>
        <item x="78"/>
        <item t="default"/>
      </items>
    </pivotField>
    <pivotField showAll="0"/>
    <pivotField axis="axisRow" showAll="0">
      <items count="4">
        <item x="2"/>
        <item x="0"/>
        <item x="1"/>
        <item t="default"/>
      </items>
    </pivotField>
    <pivotField showAll="0"/>
    <pivotField showAll="0"/>
    <pivotField showAll="0"/>
    <pivotField numFmtId="3" showAll="0"/>
    <pivotField numFmtId="3"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3"/>
  </rowFields>
  <rowItems count="4">
    <i>
      <x/>
    </i>
    <i>
      <x v="1"/>
    </i>
    <i>
      <x v="2"/>
    </i>
    <i t="grand">
      <x/>
    </i>
  </rowItems>
  <colItems count="1">
    <i/>
  </colItems>
  <dataFields count="1">
    <dataField name="Sum of Doanh thu" fld="1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CBD9D3-0DCB-42F3-8A4D-01E555C24C46}"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5">
    <pivotField showAll="0"/>
    <pivotField axis="axisRow"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79"/>
        <item x="80"/>
        <item x="81"/>
        <item x="75"/>
        <item x="76"/>
        <item x="77"/>
        <item x="78"/>
        <item t="default"/>
      </items>
    </pivotField>
    <pivotField showAll="0"/>
    <pivotField showAll="0"/>
    <pivotField showAll="0"/>
    <pivotField showAll="0">
      <items count="6">
        <item x="0"/>
        <item x="1"/>
        <item x="2"/>
        <item x="3"/>
        <item x="4"/>
        <item t="default"/>
      </items>
    </pivotField>
    <pivotField showAll="0"/>
    <pivotField numFmtId="3" showAll="0"/>
    <pivotField numFmtId="3" showAll="0">
      <items count="54">
        <item h="1" x="14"/>
        <item x="18"/>
        <item x="11"/>
        <item x="21"/>
        <item x="29"/>
        <item x="6"/>
        <item x="41"/>
        <item x="43"/>
        <item x="2"/>
        <item x="44"/>
        <item x="38"/>
        <item x="51"/>
        <item x="7"/>
        <item x="26"/>
        <item x="37"/>
        <item x="22"/>
        <item x="8"/>
        <item x="27"/>
        <item x="9"/>
        <item x="31"/>
        <item x="20"/>
        <item x="36"/>
        <item x="50"/>
        <item x="17"/>
        <item x="47"/>
        <item x="25"/>
        <item x="24"/>
        <item x="28"/>
        <item x="42"/>
        <item x="0"/>
        <item x="39"/>
        <item x="5"/>
        <item x="23"/>
        <item x="13"/>
        <item x="46"/>
        <item x="1"/>
        <item x="33"/>
        <item x="19"/>
        <item x="10"/>
        <item x="34"/>
        <item x="3"/>
        <item x="32"/>
        <item x="45"/>
        <item x="12"/>
        <item x="52"/>
        <item x="48"/>
        <item x="16"/>
        <item x="40"/>
        <item x="35"/>
        <item x="4"/>
        <item x="30"/>
        <item x="49"/>
        <item x="15"/>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13"/>
    <field x="1"/>
    <field x="14"/>
    <field x="12"/>
  </rowFields>
  <rowItems count="4">
    <i>
      <x v="1"/>
    </i>
    <i>
      <x v="2"/>
    </i>
    <i>
      <x v="3"/>
    </i>
    <i t="grand">
      <x/>
    </i>
  </rowItems>
  <colItems count="1">
    <i/>
  </colItems>
  <dataFields count="1">
    <dataField name="Sum of Doanh thu"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050A97-EA37-44CE-AD71-9E9EB303D68F}"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2:B39" firstHeaderRow="1" firstDataRow="1" firstDataCol="1"/>
  <pivotFields count="15">
    <pivotField showAll="0"/>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79"/>
        <item x="80"/>
        <item x="81"/>
        <item x="75"/>
        <item x="76"/>
        <item x="77"/>
        <item x="78"/>
        <item t="default"/>
      </items>
    </pivotField>
    <pivotField axis="axisRow" showAll="0" sortType="descending">
      <items count="7">
        <item x="2"/>
        <item x="4"/>
        <item x="0"/>
        <item x="5"/>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3" showAll="0"/>
    <pivotField numFmtId="3"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2"/>
  </rowFields>
  <rowItems count="7">
    <i>
      <x v="3"/>
    </i>
    <i>
      <x v="5"/>
    </i>
    <i>
      <x v="1"/>
    </i>
    <i>
      <x v="2"/>
    </i>
    <i>
      <x v="4"/>
    </i>
    <i>
      <x/>
    </i>
    <i t="grand">
      <x/>
    </i>
  </rowItems>
  <colItems count="1">
    <i/>
  </colItems>
  <dataFields count="1">
    <dataField name="Sum of Doanh thu"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7F2878-18F5-4AC3-A7C9-1E0CB58ABD03}"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B29" firstHeaderRow="1" firstDataRow="1" firstDataCol="1"/>
  <pivotFields count="15">
    <pivotField showAll="0"/>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79"/>
        <item x="80"/>
        <item x="81"/>
        <item x="75"/>
        <item x="76"/>
        <item x="77"/>
        <item x="78"/>
        <item t="default"/>
      </items>
    </pivotField>
    <pivotField showAll="0"/>
    <pivotField showAll="0"/>
    <pivotField showAll="0">
      <items count="16">
        <item x="0"/>
        <item x="1"/>
        <item x="11"/>
        <item x="12"/>
        <item x="13"/>
        <item x="3"/>
        <item x="2"/>
        <item x="7"/>
        <item x="4"/>
        <item x="10"/>
        <item x="8"/>
        <item x="14"/>
        <item x="6"/>
        <item x="9"/>
        <item x="5"/>
        <item t="default"/>
      </items>
    </pivotField>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showAll="0"/>
    <pivotField numFmtId="3" showAll="0"/>
    <pivotField numFmtId="3"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5"/>
  </rowFields>
  <rowItems count="6">
    <i>
      <x/>
    </i>
    <i>
      <x v="3"/>
    </i>
    <i>
      <x v="4"/>
    </i>
    <i>
      <x v="2"/>
    </i>
    <i>
      <x v="1"/>
    </i>
    <i t="grand">
      <x/>
    </i>
  </rowItems>
  <colItems count="1">
    <i/>
  </colItems>
  <dataFields count="1">
    <dataField name="Sum of Doanh thu"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ày_bán" xr10:uid="{3E3E3FC8-296D-44A5-A33F-D2F1600F842F}" sourceName="Ngày bán">
  <pivotTables>
    <pivotTable tabId="3" name="PivotTable6"/>
  </pivotTables>
  <data>
    <tabular pivotCacheId="1065538119">
      <items count="120">
        <i x="0" s="1"/>
        <i x="1" s="1"/>
        <i x="2" s="1"/>
        <i x="3" s="1"/>
        <i x="4" s="1"/>
        <i x="5" s="1"/>
        <i x="6" s="1"/>
        <i x="7" s="1"/>
        <i x="8" s="1"/>
        <i x="9" s="1"/>
        <i x="10" s="1"/>
        <i x="11"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82" s="1"/>
        <i x="83" s="1"/>
        <i x="84" s="1"/>
        <i x="85" s="1"/>
        <i x="86" s="1"/>
        <i x="87" s="1"/>
        <i x="88" s="1"/>
        <i x="89" s="1"/>
        <i x="90" s="1"/>
        <i x="91" s="1"/>
        <i x="92" s="1"/>
        <i x="93" s="1"/>
        <i x="94" s="1"/>
        <i x="95" s="1"/>
        <i x="97" s="1"/>
        <i x="98" s="1"/>
        <i x="99" s="1"/>
        <i x="100" s="1"/>
        <i x="101" s="1"/>
        <i x="103" s="1"/>
        <i x="104" s="1"/>
        <i x="105" s="1"/>
        <i x="106" s="1"/>
        <i x="107" s="1"/>
        <i x="108" s="1"/>
        <i x="109" s="1"/>
        <i x="110" s="1"/>
        <i x="111" s="1"/>
        <i x="112" s="1"/>
        <i x="113" s="1"/>
        <i x="114" s="1"/>
        <i x="115" s="1"/>
        <i x="116" s="1"/>
        <i x="117" s="1"/>
        <i x="118" s="1"/>
        <i x="119" s="1"/>
        <i x="79" s="1"/>
        <i x="80" s="1"/>
        <i x="81" s="1"/>
        <i x="75" s="1"/>
        <i x="76" s="1"/>
        <i x="78" s="1"/>
        <i x="12" s="1" nd="1"/>
        <i x="96" s="1" nd="1"/>
        <i x="102" s="1" nd="1"/>
        <i x="7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nh_mục" xr10:uid="{6C9AC100-19F4-4F8B-B24A-36A39BD31BAD}" sourceName="Danh mục">
  <pivotTables>
    <pivotTable tabId="3" name="PivotTable6"/>
  </pivotTables>
  <data>
    <tabular pivotCacheId="1065538119">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ành_tiền" xr10:uid="{233868D1-C671-4DFE-96ED-CA2A9D4EC95C}" sourceName="Thành tiền">
  <pivotTables>
    <pivotTable tabId="3" name="PivotTable6"/>
  </pivotTables>
  <data>
    <tabular pivotCacheId="1065538119">
      <items count="53">
        <i x="14"/>
        <i x="18" s="1"/>
        <i x="11" s="1"/>
        <i x="21" s="1"/>
        <i x="29" s="1"/>
        <i x="6" s="1"/>
        <i x="41" s="1"/>
        <i x="43" s="1"/>
        <i x="2" s="1"/>
        <i x="44" s="1"/>
        <i x="38" s="1"/>
        <i x="51" s="1"/>
        <i x="7" s="1"/>
        <i x="26" s="1"/>
        <i x="37" s="1"/>
        <i x="22" s="1"/>
        <i x="8" s="1"/>
        <i x="27" s="1"/>
        <i x="9" s="1"/>
        <i x="31" s="1"/>
        <i x="20" s="1"/>
        <i x="36" s="1"/>
        <i x="50" s="1"/>
        <i x="17" s="1"/>
        <i x="47" s="1"/>
        <i x="25" s="1"/>
        <i x="24" s="1"/>
        <i x="28" s="1"/>
        <i x="42" s="1"/>
        <i x="0" s="1"/>
        <i x="39" s="1"/>
        <i x="5" s="1"/>
        <i x="23" s="1"/>
        <i x="13" s="1"/>
        <i x="46" s="1"/>
        <i x="1" s="1"/>
        <i x="33" s="1"/>
        <i x="19" s="1"/>
        <i x="10" s="1"/>
        <i x="34" s="1"/>
        <i x="3" s="1"/>
        <i x="32" s="1"/>
        <i x="45" s="1"/>
        <i x="12" s="1"/>
        <i x="52" s="1"/>
        <i x="48" s="1"/>
        <i x="16" s="1"/>
        <i x="40" s="1"/>
        <i x="35" s="1"/>
        <i x="4" s="1"/>
        <i x="30" s="1"/>
        <i x="49"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gày bán 1" xr10:uid="{611E04D3-61D0-4D3B-8A5A-52BD2D0DAE28}" cache="Slicer_Ngày_bán" caption="Ngày bán" startItem="15" rowHeight="234950"/>
  <slicer name="Danh mục 1" xr10:uid="{AAC1E0B0-47FF-4E7A-A8AF-4304D2AEE553}" cache="Slicer_Danh_mục" caption="Danh mục" rowHeight="234950"/>
  <slicer name="Thành tiền 1" xr10:uid="{E5681540-3E09-4B2A-9687-4E1E2C876FBB}" cache="Slicer_Thành_tiền" caption="Thành tiề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gày bán" xr10:uid="{8BFE6477-A2F2-416C-918B-E955F9BE1923}" cache="Slicer_Ngày_bán" caption="Ngày bán" rowHeight="234950"/>
  <slicer name="Danh mục" xr10:uid="{80E8408D-A9DF-4955-841A-6F2C43AD5AD3}" cache="Slicer_Danh_mục" caption="Danh mục" rowHeight="234950"/>
  <slicer name="Thành tiền" xr10:uid="{843A28AB-498A-458D-9404-76ADE994205E}" cache="Slicer_Thành_tiền" caption="Thành tiề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D2833-635B-4CD4-8740-40527A9DE024}">
  <dimension ref="A2:O8"/>
  <sheetViews>
    <sheetView showGridLines="0" topLeftCell="F9" workbookViewId="0">
      <selection activeCell="R22" sqref="R22"/>
    </sheetView>
  </sheetViews>
  <sheetFormatPr defaultRowHeight="14.4" x14ac:dyDescent="0.3"/>
  <sheetData>
    <row r="2" spans="1:15" x14ac:dyDescent="0.3">
      <c r="D2" s="13" t="s">
        <v>207</v>
      </c>
      <c r="E2" s="13"/>
      <c r="F2" s="13"/>
      <c r="G2" s="13"/>
      <c r="H2" s="13"/>
      <c r="I2" s="13"/>
      <c r="J2" s="13"/>
    </row>
    <row r="3" spans="1:15" x14ac:dyDescent="0.3">
      <c r="D3" s="13"/>
      <c r="E3" s="13"/>
      <c r="F3" s="13"/>
      <c r="G3" s="13"/>
      <c r="H3" s="13"/>
      <c r="I3" s="13"/>
      <c r="J3" s="13"/>
    </row>
    <row r="4" spans="1:15" ht="15" thickBot="1" x14ac:dyDescent="0.35"/>
    <row r="5" spans="1:15" x14ac:dyDescent="0.3">
      <c r="A5" s="14" t="s">
        <v>208</v>
      </c>
      <c r="B5" s="15"/>
      <c r="C5" s="16"/>
      <c r="E5" s="14" t="s">
        <v>209</v>
      </c>
      <c r="F5" s="15"/>
      <c r="G5" s="16"/>
      <c r="I5" s="14" t="s">
        <v>211</v>
      </c>
      <c r="J5" s="15"/>
      <c r="K5" s="16"/>
      <c r="M5" s="14" t="s">
        <v>210</v>
      </c>
      <c r="N5" s="15"/>
      <c r="O5" s="16"/>
    </row>
    <row r="6" spans="1:15" x14ac:dyDescent="0.3">
      <c r="A6" s="17"/>
      <c r="B6" s="18"/>
      <c r="C6" s="19"/>
      <c r="E6" s="17"/>
      <c r="F6" s="18"/>
      <c r="G6" s="19"/>
      <c r="I6" s="17"/>
      <c r="J6" s="18"/>
      <c r="K6" s="19"/>
      <c r="M6" s="17"/>
      <c r="N6" s="18"/>
      <c r="O6" s="19"/>
    </row>
    <row r="7" spans="1:15" x14ac:dyDescent="0.3">
      <c r="A7" s="20">
        <v>31701000</v>
      </c>
      <c r="B7" s="21"/>
      <c r="C7" s="22"/>
      <c r="E7" s="20">
        <v>31701000</v>
      </c>
      <c r="F7" s="21"/>
      <c r="G7" s="22"/>
      <c r="I7" s="20">
        <v>454</v>
      </c>
      <c r="J7" s="21"/>
      <c r="K7" s="22"/>
      <c r="M7" s="20">
        <v>31701000</v>
      </c>
      <c r="N7" s="21"/>
      <c r="O7" s="22"/>
    </row>
    <row r="8" spans="1:15" ht="15" thickBot="1" x14ac:dyDescent="0.35">
      <c r="A8" s="23"/>
      <c r="B8" s="24"/>
      <c r="C8" s="25"/>
      <c r="E8" s="23"/>
      <c r="F8" s="24"/>
      <c r="G8" s="25"/>
      <c r="I8" s="23"/>
      <c r="J8" s="24"/>
      <c r="K8" s="25"/>
      <c r="M8" s="23"/>
      <c r="N8" s="24"/>
      <c r="O8" s="25"/>
    </row>
  </sheetData>
  <mergeCells count="9">
    <mergeCell ref="M5:O6"/>
    <mergeCell ref="M7:O8"/>
    <mergeCell ref="D2:J3"/>
    <mergeCell ref="A5:C6"/>
    <mergeCell ref="A7:C8"/>
    <mergeCell ref="E5:G6"/>
    <mergeCell ref="E7:G8"/>
    <mergeCell ref="I5:K6"/>
    <mergeCell ref="I7:K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028F-F066-4301-B7F0-F1A1C0C617E9}">
  <dimension ref="A3:B39"/>
  <sheetViews>
    <sheetView tabSelected="1" topLeftCell="J1" workbookViewId="0">
      <selection activeCell="B3" sqref="B3"/>
    </sheetView>
  </sheetViews>
  <sheetFormatPr defaultRowHeight="14.4" x14ac:dyDescent="0.3"/>
  <cols>
    <col min="1" max="1" width="12.5546875" bestFit="1" customWidth="1"/>
    <col min="2" max="2" width="16.44140625" bestFit="1" customWidth="1"/>
  </cols>
  <sheetData>
    <row r="3" spans="1:2" x14ac:dyDescent="0.3">
      <c r="A3" s="11" t="s">
        <v>200</v>
      </c>
      <c r="B3" t="s">
        <v>202</v>
      </c>
    </row>
    <row r="4" spans="1:2" x14ac:dyDescent="0.3">
      <c r="A4" s="12" t="s">
        <v>203</v>
      </c>
      <c r="B4" s="26">
        <v>22897000</v>
      </c>
    </row>
    <row r="5" spans="1:2" x14ac:dyDescent="0.3">
      <c r="A5" s="12" t="s">
        <v>204</v>
      </c>
      <c r="B5" s="26">
        <v>8528000</v>
      </c>
    </row>
    <row r="6" spans="1:2" x14ac:dyDescent="0.3">
      <c r="A6" s="12" t="s">
        <v>205</v>
      </c>
      <c r="B6" s="26">
        <v>150000</v>
      </c>
    </row>
    <row r="7" spans="1:2" x14ac:dyDescent="0.3">
      <c r="A7" s="12" t="s">
        <v>201</v>
      </c>
      <c r="B7" s="26">
        <v>31575000</v>
      </c>
    </row>
    <row r="10" spans="1:2" x14ac:dyDescent="0.3">
      <c r="A10" s="11" t="s">
        <v>200</v>
      </c>
      <c r="B10" t="s">
        <v>202</v>
      </c>
    </row>
    <row r="11" spans="1:2" x14ac:dyDescent="0.3">
      <c r="A11" s="12" t="s">
        <v>35</v>
      </c>
      <c r="B11">
        <v>11529000</v>
      </c>
    </row>
    <row r="12" spans="1:2" x14ac:dyDescent="0.3">
      <c r="A12" s="12" t="s">
        <v>13</v>
      </c>
      <c r="B12">
        <v>10599000</v>
      </c>
    </row>
    <row r="13" spans="1:2" x14ac:dyDescent="0.3">
      <c r="A13" s="12" t="s">
        <v>19</v>
      </c>
      <c r="B13">
        <v>9573000</v>
      </c>
    </row>
    <row r="14" spans="1:2" x14ac:dyDescent="0.3">
      <c r="A14" s="12" t="s">
        <v>201</v>
      </c>
      <c r="B14">
        <v>31701000</v>
      </c>
    </row>
    <row r="16" spans="1:2" x14ac:dyDescent="0.3">
      <c r="A16" s="11" t="s">
        <v>200</v>
      </c>
      <c r="B16" t="s">
        <v>206</v>
      </c>
    </row>
    <row r="17" spans="1:2" x14ac:dyDescent="0.3">
      <c r="A17" s="12" t="s">
        <v>35</v>
      </c>
      <c r="B17">
        <v>137</v>
      </c>
    </row>
    <row r="18" spans="1:2" x14ac:dyDescent="0.3">
      <c r="A18" s="12" t="s">
        <v>13</v>
      </c>
      <c r="B18">
        <v>171</v>
      </c>
    </row>
    <row r="19" spans="1:2" x14ac:dyDescent="0.3">
      <c r="A19" s="12" t="s">
        <v>19</v>
      </c>
      <c r="B19">
        <v>146</v>
      </c>
    </row>
    <row r="20" spans="1:2" x14ac:dyDescent="0.3">
      <c r="A20" s="12" t="s">
        <v>201</v>
      </c>
      <c r="B20">
        <v>454</v>
      </c>
    </row>
    <row r="23" spans="1:2" x14ac:dyDescent="0.3">
      <c r="A23" s="11" t="s">
        <v>200</v>
      </c>
      <c r="B23" t="s">
        <v>202</v>
      </c>
    </row>
    <row r="24" spans="1:2" x14ac:dyDescent="0.3">
      <c r="A24" s="12" t="s">
        <v>50</v>
      </c>
      <c r="B24">
        <v>14286000</v>
      </c>
    </row>
    <row r="25" spans="1:2" x14ac:dyDescent="0.3">
      <c r="A25" s="12" t="s">
        <v>29</v>
      </c>
      <c r="B25">
        <v>7707000</v>
      </c>
    </row>
    <row r="26" spans="1:2" x14ac:dyDescent="0.3">
      <c r="A26" s="12" t="s">
        <v>15</v>
      </c>
      <c r="B26">
        <v>4165000</v>
      </c>
    </row>
    <row r="27" spans="1:2" x14ac:dyDescent="0.3">
      <c r="A27" s="12" t="s">
        <v>38</v>
      </c>
      <c r="B27">
        <v>3443000</v>
      </c>
    </row>
    <row r="28" spans="1:2" x14ac:dyDescent="0.3">
      <c r="A28" s="12" t="s">
        <v>42</v>
      </c>
      <c r="B28">
        <v>2100000</v>
      </c>
    </row>
    <row r="29" spans="1:2" x14ac:dyDescent="0.3">
      <c r="A29" s="12" t="s">
        <v>201</v>
      </c>
      <c r="B29">
        <v>31701000</v>
      </c>
    </row>
    <row r="32" spans="1:2" x14ac:dyDescent="0.3">
      <c r="A32" s="11" t="s">
        <v>200</v>
      </c>
      <c r="B32" t="s">
        <v>202</v>
      </c>
    </row>
    <row r="33" spans="1:2" x14ac:dyDescent="0.3">
      <c r="A33" s="12" t="s">
        <v>68</v>
      </c>
      <c r="B33">
        <v>5922000</v>
      </c>
    </row>
    <row r="34" spans="1:2" x14ac:dyDescent="0.3">
      <c r="A34" s="12" t="s">
        <v>18</v>
      </c>
      <c r="B34">
        <v>5620000</v>
      </c>
    </row>
    <row r="35" spans="1:2" x14ac:dyDescent="0.3">
      <c r="A35" s="12" t="s">
        <v>34</v>
      </c>
      <c r="B35">
        <v>5607000</v>
      </c>
    </row>
    <row r="36" spans="1:2" x14ac:dyDescent="0.3">
      <c r="A36" s="12" t="s">
        <v>12</v>
      </c>
      <c r="B36">
        <v>5530000</v>
      </c>
    </row>
    <row r="37" spans="1:2" x14ac:dyDescent="0.3">
      <c r="A37" s="12" t="s">
        <v>27</v>
      </c>
      <c r="B37">
        <v>5069000</v>
      </c>
    </row>
    <row r="38" spans="1:2" x14ac:dyDescent="0.3">
      <c r="A38" s="12" t="s">
        <v>24</v>
      </c>
      <c r="B38">
        <v>3953000</v>
      </c>
    </row>
    <row r="39" spans="1:2" x14ac:dyDescent="0.3">
      <c r="A39" s="12" t="s">
        <v>201</v>
      </c>
      <c r="B39">
        <v>31701000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workbookViewId="0">
      <selection sqref="A1:L151"/>
    </sheetView>
  </sheetViews>
  <sheetFormatPr defaultRowHeight="14.4" x14ac:dyDescent="0.3"/>
  <cols>
    <col min="1" max="1" width="15" customWidth="1"/>
    <col min="2" max="2" width="21.109375" style="10" customWidth="1"/>
    <col min="3" max="3" width="23.6640625" customWidth="1"/>
    <col min="4" max="4" width="13.21875" customWidth="1"/>
    <col min="5" max="5" width="22.88671875" customWidth="1"/>
    <col min="6" max="6" width="15.77734375" customWidth="1"/>
    <col min="7" max="7" width="14" customWidth="1"/>
    <col min="8" max="8" width="14.6640625" customWidth="1"/>
    <col min="9" max="9" width="16.6640625" bestFit="1" customWidth="1"/>
    <col min="10" max="10" width="17.6640625" customWidth="1"/>
    <col min="11" max="11" width="17.21875" customWidth="1"/>
    <col min="12" max="12" width="7.77734375" bestFit="1" customWidth="1"/>
  </cols>
  <sheetData>
    <row r="1" spans="1:12" ht="31.2" x14ac:dyDescent="0.3">
      <c r="A1" s="6" t="s">
        <v>0</v>
      </c>
      <c r="B1" s="7" t="s">
        <v>1</v>
      </c>
      <c r="C1" s="6" t="s">
        <v>2</v>
      </c>
      <c r="D1" s="6" t="s">
        <v>3</v>
      </c>
      <c r="E1" s="6" t="s">
        <v>4</v>
      </c>
      <c r="F1" s="6" t="s">
        <v>5</v>
      </c>
      <c r="G1" s="6" t="s">
        <v>6</v>
      </c>
      <c r="H1" s="6" t="s">
        <v>7</v>
      </c>
      <c r="I1" s="6" t="s">
        <v>8</v>
      </c>
      <c r="J1" s="6" t="s">
        <v>9</v>
      </c>
      <c r="K1" s="6" t="s">
        <v>10</v>
      </c>
      <c r="L1" s="6" t="s">
        <v>199</v>
      </c>
    </row>
    <row r="2" spans="1:12" ht="15.6" x14ac:dyDescent="0.3">
      <c r="A2" s="4" t="s">
        <v>11</v>
      </c>
      <c r="B2" s="8">
        <v>44928</v>
      </c>
      <c r="C2" s="4" t="s">
        <v>12</v>
      </c>
      <c r="D2" s="4" t="s">
        <v>13</v>
      </c>
      <c r="E2" s="4" t="s">
        <v>14</v>
      </c>
      <c r="F2" s="4" t="s">
        <v>15</v>
      </c>
      <c r="G2" s="4">
        <v>3</v>
      </c>
      <c r="H2" s="5">
        <v>55000</v>
      </c>
      <c r="I2" s="5">
        <v>165000</v>
      </c>
      <c r="J2" s="4" t="s">
        <v>16</v>
      </c>
      <c r="K2" s="4"/>
      <c r="L2">
        <f>G2*H2</f>
        <v>165000</v>
      </c>
    </row>
    <row r="3" spans="1:12" ht="15.6" x14ac:dyDescent="0.3">
      <c r="A3" s="4" t="s">
        <v>17</v>
      </c>
      <c r="B3" s="8">
        <v>44929</v>
      </c>
      <c r="C3" s="4" t="s">
        <v>18</v>
      </c>
      <c r="D3" s="4" t="s">
        <v>19</v>
      </c>
      <c r="E3" s="4" t="s">
        <v>20</v>
      </c>
      <c r="F3" s="4" t="s">
        <v>15</v>
      </c>
      <c r="G3" s="4">
        <v>5</v>
      </c>
      <c r="H3" s="5">
        <v>45000</v>
      </c>
      <c r="I3" s="5">
        <v>225000</v>
      </c>
      <c r="J3" s="4" t="s">
        <v>16</v>
      </c>
      <c r="K3" s="4" t="s">
        <v>21</v>
      </c>
      <c r="L3">
        <f t="shared" ref="L3:L66" si="0">G3*H3</f>
        <v>225000</v>
      </c>
    </row>
    <row r="4" spans="1:12" ht="15.6" x14ac:dyDescent="0.3">
      <c r="A4" s="4" t="s">
        <v>22</v>
      </c>
      <c r="B4" s="8">
        <v>44929</v>
      </c>
      <c r="C4" s="4" t="s">
        <v>12</v>
      </c>
      <c r="D4" s="4" t="s">
        <v>13</v>
      </c>
      <c r="E4" s="4" t="s">
        <v>14</v>
      </c>
      <c r="F4" s="4" t="s">
        <v>15</v>
      </c>
      <c r="G4" s="4">
        <v>1</v>
      </c>
      <c r="H4" s="5">
        <v>55000</v>
      </c>
      <c r="I4" s="5">
        <v>55000</v>
      </c>
      <c r="J4" s="4" t="s">
        <v>16</v>
      </c>
      <c r="K4" s="4"/>
      <c r="L4">
        <f t="shared" si="0"/>
        <v>55000</v>
      </c>
    </row>
    <row r="5" spans="1:12" ht="15.6" x14ac:dyDescent="0.3">
      <c r="A5" s="4" t="s">
        <v>23</v>
      </c>
      <c r="B5" s="8">
        <v>44930</v>
      </c>
      <c r="C5" s="4" t="s">
        <v>24</v>
      </c>
      <c r="D5" s="4" t="s">
        <v>19</v>
      </c>
      <c r="E5" s="4" t="s">
        <v>14</v>
      </c>
      <c r="F5" s="4" t="s">
        <v>15</v>
      </c>
      <c r="G5" s="4">
        <v>5</v>
      </c>
      <c r="H5" s="5">
        <v>55000</v>
      </c>
      <c r="I5" s="5">
        <v>275000</v>
      </c>
      <c r="J5" s="4" t="s">
        <v>16</v>
      </c>
      <c r="K5" s="4" t="s">
        <v>25</v>
      </c>
      <c r="L5">
        <f t="shared" si="0"/>
        <v>275000</v>
      </c>
    </row>
    <row r="6" spans="1:12" ht="15.6" x14ac:dyDescent="0.3">
      <c r="A6" s="4" t="s">
        <v>26</v>
      </c>
      <c r="B6" s="8">
        <v>44931</v>
      </c>
      <c r="C6" s="4" t="s">
        <v>27</v>
      </c>
      <c r="D6" s="4" t="s">
        <v>13</v>
      </c>
      <c r="E6" s="4" t="s">
        <v>28</v>
      </c>
      <c r="F6" s="4" t="s">
        <v>29</v>
      </c>
      <c r="G6" s="4">
        <v>5</v>
      </c>
      <c r="H6" s="5">
        <v>129000</v>
      </c>
      <c r="I6" s="5">
        <v>645000</v>
      </c>
      <c r="J6" s="4" t="s">
        <v>30</v>
      </c>
      <c r="K6" s="4"/>
      <c r="L6">
        <f t="shared" si="0"/>
        <v>645000</v>
      </c>
    </row>
    <row r="7" spans="1:12" ht="15.6" x14ac:dyDescent="0.3">
      <c r="A7" s="4" t="s">
        <v>31</v>
      </c>
      <c r="B7" s="8">
        <v>44931</v>
      </c>
      <c r="C7" s="4" t="s">
        <v>18</v>
      </c>
      <c r="D7" s="4" t="s">
        <v>19</v>
      </c>
      <c r="E7" s="4" t="s">
        <v>32</v>
      </c>
      <c r="F7" s="4" t="s">
        <v>29</v>
      </c>
      <c r="G7" s="4">
        <v>3</v>
      </c>
      <c r="H7" s="5">
        <v>59000</v>
      </c>
      <c r="I7" s="5">
        <v>177000</v>
      </c>
      <c r="J7" s="4" t="s">
        <v>30</v>
      </c>
      <c r="K7" s="4"/>
      <c r="L7">
        <f t="shared" si="0"/>
        <v>177000</v>
      </c>
    </row>
    <row r="8" spans="1:12" ht="15.6" x14ac:dyDescent="0.3">
      <c r="A8" s="4" t="s">
        <v>33</v>
      </c>
      <c r="B8" s="8">
        <v>44932</v>
      </c>
      <c r="C8" s="4" t="s">
        <v>34</v>
      </c>
      <c r="D8" s="4" t="s">
        <v>35</v>
      </c>
      <c r="E8" s="4" t="s">
        <v>20</v>
      </c>
      <c r="F8" s="4" t="s">
        <v>15</v>
      </c>
      <c r="G8" s="4">
        <v>1</v>
      </c>
      <c r="H8" s="5">
        <v>45000</v>
      </c>
      <c r="I8" s="5">
        <v>45000</v>
      </c>
      <c r="J8" s="4" t="s">
        <v>30</v>
      </c>
      <c r="K8" s="4"/>
      <c r="L8">
        <f t="shared" si="0"/>
        <v>45000</v>
      </c>
    </row>
    <row r="9" spans="1:12" ht="15.6" x14ac:dyDescent="0.3">
      <c r="A9" s="4" t="s">
        <v>36</v>
      </c>
      <c r="B9" s="8">
        <v>44933</v>
      </c>
      <c r="C9" s="4" t="s">
        <v>34</v>
      </c>
      <c r="D9" s="4" t="s">
        <v>35</v>
      </c>
      <c r="E9" s="4" t="s">
        <v>37</v>
      </c>
      <c r="F9" s="4" t="s">
        <v>38</v>
      </c>
      <c r="G9" s="4">
        <v>3</v>
      </c>
      <c r="H9" s="5">
        <v>25000</v>
      </c>
      <c r="I9" s="5">
        <v>75000</v>
      </c>
      <c r="J9" s="4" t="s">
        <v>16</v>
      </c>
      <c r="K9" s="4" t="s">
        <v>39</v>
      </c>
      <c r="L9">
        <f t="shared" si="0"/>
        <v>75000</v>
      </c>
    </row>
    <row r="10" spans="1:12" ht="15.6" x14ac:dyDescent="0.3">
      <c r="A10" s="4" t="s">
        <v>40</v>
      </c>
      <c r="B10" s="8">
        <v>44934</v>
      </c>
      <c r="C10" s="4" t="s">
        <v>12</v>
      </c>
      <c r="D10" s="4" t="s">
        <v>13</v>
      </c>
      <c r="E10" s="4" t="s">
        <v>41</v>
      </c>
      <c r="F10" s="4" t="s">
        <v>42</v>
      </c>
      <c r="G10" s="4">
        <v>4</v>
      </c>
      <c r="H10" s="5">
        <v>25000</v>
      </c>
      <c r="I10" s="5">
        <v>100000</v>
      </c>
      <c r="J10" s="4" t="s">
        <v>16</v>
      </c>
      <c r="K10" s="4" t="s">
        <v>25</v>
      </c>
      <c r="L10">
        <f t="shared" si="0"/>
        <v>100000</v>
      </c>
    </row>
    <row r="11" spans="1:12" ht="15.6" x14ac:dyDescent="0.3">
      <c r="A11" s="4" t="s">
        <v>43</v>
      </c>
      <c r="B11" s="8">
        <v>44934</v>
      </c>
      <c r="C11" s="4" t="s">
        <v>18</v>
      </c>
      <c r="D11" s="4" t="s">
        <v>19</v>
      </c>
      <c r="E11" s="4" t="s">
        <v>37</v>
      </c>
      <c r="F11" s="4" t="s">
        <v>38</v>
      </c>
      <c r="G11" s="4">
        <v>3</v>
      </c>
      <c r="H11" s="5">
        <v>25000</v>
      </c>
      <c r="I11" s="5">
        <v>75000</v>
      </c>
      <c r="J11" s="4" t="s">
        <v>44</v>
      </c>
      <c r="K11" s="4"/>
      <c r="L11">
        <f t="shared" si="0"/>
        <v>75000</v>
      </c>
    </row>
    <row r="12" spans="1:12" ht="15.6" x14ac:dyDescent="0.3">
      <c r="A12" s="4" t="s">
        <v>45</v>
      </c>
      <c r="B12" s="8">
        <v>44935</v>
      </c>
      <c r="C12" s="4" t="s">
        <v>12</v>
      </c>
      <c r="D12" s="4" t="s">
        <v>13</v>
      </c>
      <c r="E12" s="4" t="s">
        <v>14</v>
      </c>
      <c r="F12" s="4" t="s">
        <v>15</v>
      </c>
      <c r="G12" s="4">
        <v>2</v>
      </c>
      <c r="H12" s="5">
        <v>55000</v>
      </c>
      <c r="I12" s="5">
        <v>110000</v>
      </c>
      <c r="J12" s="4" t="s">
        <v>30</v>
      </c>
      <c r="K12" s="4"/>
      <c r="L12">
        <f t="shared" si="0"/>
        <v>110000</v>
      </c>
    </row>
    <row r="13" spans="1:12" ht="15.6" x14ac:dyDescent="0.3">
      <c r="A13" s="4" t="s">
        <v>46</v>
      </c>
      <c r="B13" s="8">
        <v>44936</v>
      </c>
      <c r="C13" s="4" t="s">
        <v>12</v>
      </c>
      <c r="D13" s="4" t="s">
        <v>13</v>
      </c>
      <c r="E13" s="4" t="s">
        <v>32</v>
      </c>
      <c r="F13" s="4" t="s">
        <v>29</v>
      </c>
      <c r="G13" s="4">
        <v>3</v>
      </c>
      <c r="H13" s="5">
        <v>59000</v>
      </c>
      <c r="I13" s="5">
        <v>177000</v>
      </c>
      <c r="J13" s="4" t="s">
        <v>30</v>
      </c>
      <c r="K13" s="4" t="s">
        <v>47</v>
      </c>
      <c r="L13">
        <f t="shared" si="0"/>
        <v>177000</v>
      </c>
    </row>
    <row r="14" spans="1:12" ht="15.6" x14ac:dyDescent="0.3">
      <c r="A14" s="4" t="s">
        <v>48</v>
      </c>
      <c r="B14" s="8">
        <v>44937</v>
      </c>
      <c r="C14" s="4" t="s">
        <v>34</v>
      </c>
      <c r="D14" s="4" t="s">
        <v>35</v>
      </c>
      <c r="E14" s="4" t="s">
        <v>49</v>
      </c>
      <c r="F14" s="4" t="s">
        <v>50</v>
      </c>
      <c r="G14" s="4">
        <v>2</v>
      </c>
      <c r="H14" s="5">
        <v>129000</v>
      </c>
      <c r="I14" s="5">
        <v>258000</v>
      </c>
      <c r="J14" s="4" t="s">
        <v>44</v>
      </c>
      <c r="K14" s="4"/>
      <c r="L14">
        <f t="shared" si="0"/>
        <v>258000</v>
      </c>
    </row>
    <row r="15" spans="1:12" ht="15.6" x14ac:dyDescent="0.3">
      <c r="A15" s="4" t="s">
        <v>51</v>
      </c>
      <c r="B15" s="8">
        <v>44938</v>
      </c>
      <c r="C15" s="4" t="s">
        <v>18</v>
      </c>
      <c r="D15" s="4" t="s">
        <v>19</v>
      </c>
      <c r="E15" s="4" t="s">
        <v>52</v>
      </c>
      <c r="F15" s="4" t="s">
        <v>38</v>
      </c>
      <c r="G15" s="4">
        <v>1</v>
      </c>
      <c r="H15" s="5">
        <v>35000</v>
      </c>
      <c r="I15" s="5">
        <v>35000</v>
      </c>
      <c r="J15" s="4" t="s">
        <v>44</v>
      </c>
      <c r="K15" s="4"/>
      <c r="L15">
        <f t="shared" si="0"/>
        <v>35000</v>
      </c>
    </row>
    <row r="16" spans="1:12" ht="15.6" x14ac:dyDescent="0.3">
      <c r="A16" s="4" t="s">
        <v>53</v>
      </c>
      <c r="B16" s="8">
        <v>44938</v>
      </c>
      <c r="C16" s="4" t="s">
        <v>18</v>
      </c>
      <c r="D16" s="4" t="s">
        <v>19</v>
      </c>
      <c r="E16" s="4" t="s">
        <v>54</v>
      </c>
      <c r="F16" s="4" t="s">
        <v>50</v>
      </c>
      <c r="G16" s="4">
        <v>2</v>
      </c>
      <c r="H16" s="5">
        <v>189000</v>
      </c>
      <c r="I16" s="5">
        <v>378000</v>
      </c>
      <c r="J16" s="4" t="s">
        <v>30</v>
      </c>
      <c r="K16" s="4" t="s">
        <v>55</v>
      </c>
      <c r="L16">
        <f t="shared" si="0"/>
        <v>378000</v>
      </c>
    </row>
    <row r="17" spans="1:12" ht="15.6" x14ac:dyDescent="0.3">
      <c r="A17" s="4" t="s">
        <v>56</v>
      </c>
      <c r="B17" s="8">
        <v>44939</v>
      </c>
      <c r="C17" s="4" t="s">
        <v>18</v>
      </c>
      <c r="D17" s="4" t="s">
        <v>19</v>
      </c>
      <c r="E17" s="4" t="s">
        <v>57</v>
      </c>
      <c r="F17" s="4" t="s">
        <v>38</v>
      </c>
      <c r="G17" s="4">
        <v>5</v>
      </c>
      <c r="H17" s="5">
        <v>39000</v>
      </c>
      <c r="I17" s="5">
        <v>195000</v>
      </c>
      <c r="J17" s="4" t="s">
        <v>16</v>
      </c>
      <c r="K17" s="4" t="s">
        <v>47</v>
      </c>
      <c r="L17">
        <f t="shared" si="0"/>
        <v>195000</v>
      </c>
    </row>
    <row r="18" spans="1:12" ht="15.6" x14ac:dyDescent="0.3">
      <c r="A18" s="4" t="s">
        <v>58</v>
      </c>
      <c r="B18" s="8">
        <v>44940</v>
      </c>
      <c r="C18" s="4" t="s">
        <v>27</v>
      </c>
      <c r="D18" s="4" t="s">
        <v>13</v>
      </c>
      <c r="E18" s="4" t="s">
        <v>59</v>
      </c>
      <c r="F18" s="4" t="s">
        <v>42</v>
      </c>
      <c r="G18" s="4">
        <v>1</v>
      </c>
      <c r="H18" s="5">
        <v>18000</v>
      </c>
      <c r="I18" s="5">
        <v>18000</v>
      </c>
      <c r="J18" s="4" t="s">
        <v>30</v>
      </c>
      <c r="K18" s="4" t="s">
        <v>55</v>
      </c>
      <c r="L18">
        <f t="shared" si="0"/>
        <v>18000</v>
      </c>
    </row>
    <row r="19" spans="1:12" ht="15.6" x14ac:dyDescent="0.3">
      <c r="A19" s="4" t="s">
        <v>60</v>
      </c>
      <c r="B19" s="8">
        <v>44941</v>
      </c>
      <c r="C19" s="4" t="s">
        <v>12</v>
      </c>
      <c r="D19" s="4" t="s">
        <v>13</v>
      </c>
      <c r="E19" s="4" t="s">
        <v>54</v>
      </c>
      <c r="F19" s="4" t="s">
        <v>50</v>
      </c>
      <c r="G19" s="4">
        <v>5</v>
      </c>
      <c r="H19" s="5">
        <v>189000</v>
      </c>
      <c r="I19" s="5">
        <v>945000</v>
      </c>
      <c r="J19" s="4" t="s">
        <v>44</v>
      </c>
      <c r="K19" s="4" t="s">
        <v>47</v>
      </c>
      <c r="L19">
        <f t="shared" si="0"/>
        <v>945000</v>
      </c>
    </row>
    <row r="20" spans="1:12" ht="15.6" x14ac:dyDescent="0.3">
      <c r="A20" s="4" t="s">
        <v>61</v>
      </c>
      <c r="B20" s="8">
        <v>44941</v>
      </c>
      <c r="C20" s="4" t="s">
        <v>18</v>
      </c>
      <c r="D20" s="4" t="s">
        <v>19</v>
      </c>
      <c r="E20" s="4" t="s">
        <v>28</v>
      </c>
      <c r="F20" s="4" t="s">
        <v>29</v>
      </c>
      <c r="G20" s="4">
        <v>4</v>
      </c>
      <c r="H20" s="5">
        <v>129000</v>
      </c>
      <c r="I20" s="5">
        <v>516000</v>
      </c>
      <c r="J20" s="4" t="s">
        <v>44</v>
      </c>
      <c r="K20" s="4" t="s">
        <v>39</v>
      </c>
      <c r="L20">
        <f t="shared" si="0"/>
        <v>516000</v>
      </c>
    </row>
    <row r="21" spans="1:12" ht="15.6" x14ac:dyDescent="0.3">
      <c r="A21" s="4" t="s">
        <v>62</v>
      </c>
      <c r="B21" s="8">
        <v>44942</v>
      </c>
      <c r="C21" s="4" t="s">
        <v>34</v>
      </c>
      <c r="D21" s="4" t="s">
        <v>35</v>
      </c>
      <c r="E21" s="4" t="s">
        <v>63</v>
      </c>
      <c r="F21" s="4" t="s">
        <v>15</v>
      </c>
      <c r="G21" s="4">
        <v>2</v>
      </c>
      <c r="H21" s="5">
        <v>65000</v>
      </c>
      <c r="I21" s="5">
        <v>130000</v>
      </c>
      <c r="J21" s="4" t="s">
        <v>44</v>
      </c>
      <c r="K21" s="4" t="s">
        <v>25</v>
      </c>
      <c r="L21">
        <f t="shared" si="0"/>
        <v>130000</v>
      </c>
    </row>
    <row r="22" spans="1:12" ht="15.6" x14ac:dyDescent="0.3">
      <c r="A22" s="4" t="s">
        <v>64</v>
      </c>
      <c r="B22" s="8">
        <v>44943</v>
      </c>
      <c r="C22" s="4" t="s">
        <v>34</v>
      </c>
      <c r="D22" s="4" t="s">
        <v>35</v>
      </c>
      <c r="E22" s="4" t="s">
        <v>57</v>
      </c>
      <c r="F22" s="4" t="s">
        <v>38</v>
      </c>
      <c r="G22" s="4">
        <v>5</v>
      </c>
      <c r="H22" s="5">
        <v>39000</v>
      </c>
      <c r="I22" s="5">
        <v>195000</v>
      </c>
      <c r="J22" s="4" t="s">
        <v>30</v>
      </c>
      <c r="K22" s="4" t="s">
        <v>21</v>
      </c>
      <c r="L22">
        <f t="shared" si="0"/>
        <v>195000</v>
      </c>
    </row>
    <row r="23" spans="1:12" ht="15.6" x14ac:dyDescent="0.3">
      <c r="A23" s="4" t="s">
        <v>65</v>
      </c>
      <c r="B23" s="8">
        <v>44944</v>
      </c>
      <c r="C23" s="4" t="s">
        <v>34</v>
      </c>
      <c r="D23" s="4" t="s">
        <v>35</v>
      </c>
      <c r="E23" s="4" t="s">
        <v>54</v>
      </c>
      <c r="F23" s="4" t="s">
        <v>50</v>
      </c>
      <c r="G23" s="4">
        <v>2</v>
      </c>
      <c r="H23" s="5">
        <v>189000</v>
      </c>
      <c r="I23" s="5">
        <v>378000</v>
      </c>
      <c r="J23" s="4" t="s">
        <v>44</v>
      </c>
      <c r="K23" s="4" t="s">
        <v>39</v>
      </c>
      <c r="L23">
        <f t="shared" si="0"/>
        <v>378000</v>
      </c>
    </row>
    <row r="24" spans="1:12" ht="15.6" x14ac:dyDescent="0.3">
      <c r="A24" s="4" t="s">
        <v>66</v>
      </c>
      <c r="B24" s="8">
        <v>44944</v>
      </c>
      <c r="C24" s="4" t="s">
        <v>12</v>
      </c>
      <c r="D24" s="4" t="s">
        <v>13</v>
      </c>
      <c r="E24" s="4" t="s">
        <v>59</v>
      </c>
      <c r="F24" s="4" t="s">
        <v>42</v>
      </c>
      <c r="G24" s="4">
        <v>1</v>
      </c>
      <c r="H24" s="5">
        <v>18000</v>
      </c>
      <c r="I24" s="5">
        <v>18000</v>
      </c>
      <c r="J24" s="4" t="s">
        <v>16</v>
      </c>
      <c r="K24" s="4"/>
      <c r="L24">
        <f t="shared" si="0"/>
        <v>18000</v>
      </c>
    </row>
    <row r="25" spans="1:12" ht="15.6" x14ac:dyDescent="0.3">
      <c r="A25" s="4" t="s">
        <v>67</v>
      </c>
      <c r="B25" s="8">
        <v>44945</v>
      </c>
      <c r="C25" s="4" t="s">
        <v>68</v>
      </c>
      <c r="D25" s="4" t="s">
        <v>35</v>
      </c>
      <c r="E25" s="4" t="s">
        <v>37</v>
      </c>
      <c r="F25" s="4" t="s">
        <v>38</v>
      </c>
      <c r="G25" s="4">
        <v>1</v>
      </c>
      <c r="H25" s="5">
        <v>25000</v>
      </c>
      <c r="I25" s="5">
        <v>25000</v>
      </c>
      <c r="J25" s="4" t="s">
        <v>30</v>
      </c>
      <c r="K25" s="4" t="s">
        <v>55</v>
      </c>
      <c r="L25">
        <f t="shared" si="0"/>
        <v>25000</v>
      </c>
    </row>
    <row r="26" spans="1:12" ht="15.6" x14ac:dyDescent="0.3">
      <c r="A26" s="4" t="s">
        <v>69</v>
      </c>
      <c r="B26" s="8">
        <v>44946</v>
      </c>
      <c r="C26" s="4" t="s">
        <v>68</v>
      </c>
      <c r="D26" s="4" t="s">
        <v>35</v>
      </c>
      <c r="E26" s="4" t="s">
        <v>70</v>
      </c>
      <c r="F26" s="4" t="s">
        <v>29</v>
      </c>
      <c r="G26" s="4">
        <v>3</v>
      </c>
      <c r="H26" s="5">
        <v>79000</v>
      </c>
      <c r="I26" s="5">
        <v>237000</v>
      </c>
      <c r="J26" s="4" t="s">
        <v>44</v>
      </c>
      <c r="K26" s="4"/>
      <c r="L26">
        <f t="shared" si="0"/>
        <v>237000</v>
      </c>
    </row>
    <row r="27" spans="1:12" ht="15.6" x14ac:dyDescent="0.3">
      <c r="A27" s="4" t="s">
        <v>71</v>
      </c>
      <c r="B27" s="8">
        <v>44946</v>
      </c>
      <c r="C27" s="4" t="s">
        <v>18</v>
      </c>
      <c r="D27" s="4" t="s">
        <v>19</v>
      </c>
      <c r="E27" s="4" t="s">
        <v>20</v>
      </c>
      <c r="F27" s="4" t="s">
        <v>15</v>
      </c>
      <c r="G27" s="4">
        <v>5</v>
      </c>
      <c r="H27" s="5">
        <v>45000</v>
      </c>
      <c r="I27" s="5">
        <v>225000</v>
      </c>
      <c r="J27" s="4" t="s">
        <v>30</v>
      </c>
      <c r="K27" s="4" t="s">
        <v>47</v>
      </c>
      <c r="L27">
        <f t="shared" si="0"/>
        <v>225000</v>
      </c>
    </row>
    <row r="28" spans="1:12" ht="15.6" x14ac:dyDescent="0.3">
      <c r="A28" s="4" t="s">
        <v>72</v>
      </c>
      <c r="B28" s="8">
        <v>44947</v>
      </c>
      <c r="C28" s="4" t="s">
        <v>34</v>
      </c>
      <c r="D28" s="4" t="s">
        <v>35</v>
      </c>
      <c r="E28" s="4" t="s">
        <v>32</v>
      </c>
      <c r="F28" s="4" t="s">
        <v>29</v>
      </c>
      <c r="G28" s="4">
        <v>2</v>
      </c>
      <c r="H28" s="5">
        <v>59000</v>
      </c>
      <c r="I28" s="5">
        <v>118000</v>
      </c>
      <c r="J28" s="4" t="s">
        <v>30</v>
      </c>
      <c r="K28" s="4"/>
      <c r="L28">
        <f t="shared" si="0"/>
        <v>118000</v>
      </c>
    </row>
    <row r="29" spans="1:12" ht="15.6" x14ac:dyDescent="0.3">
      <c r="A29" s="4" t="s">
        <v>73</v>
      </c>
      <c r="B29" s="8">
        <v>44948</v>
      </c>
      <c r="C29" s="4" t="s">
        <v>24</v>
      </c>
      <c r="D29" s="4" t="s">
        <v>19</v>
      </c>
      <c r="E29" s="4" t="s">
        <v>74</v>
      </c>
      <c r="F29" s="4" t="s">
        <v>42</v>
      </c>
      <c r="G29" s="4">
        <v>2</v>
      </c>
      <c r="H29" s="5">
        <v>18000</v>
      </c>
      <c r="I29" s="5">
        <v>36000</v>
      </c>
      <c r="J29" s="4" t="s">
        <v>44</v>
      </c>
      <c r="K29" s="4"/>
      <c r="L29">
        <f t="shared" si="0"/>
        <v>36000</v>
      </c>
    </row>
    <row r="30" spans="1:12" ht="15.6" x14ac:dyDescent="0.3">
      <c r="A30" s="4" t="s">
        <v>75</v>
      </c>
      <c r="B30" s="8">
        <v>44949</v>
      </c>
      <c r="C30" s="4" t="s">
        <v>34</v>
      </c>
      <c r="D30" s="4" t="s">
        <v>35</v>
      </c>
      <c r="E30" s="4" t="s">
        <v>59</v>
      </c>
      <c r="F30" s="4" t="s">
        <v>42</v>
      </c>
      <c r="G30" s="4">
        <v>5</v>
      </c>
      <c r="H30" s="5">
        <v>18000</v>
      </c>
      <c r="I30" s="5">
        <v>90000</v>
      </c>
      <c r="J30" s="4" t="s">
        <v>44</v>
      </c>
      <c r="K30" s="4"/>
      <c r="L30">
        <f t="shared" si="0"/>
        <v>90000</v>
      </c>
    </row>
    <row r="31" spans="1:12" ht="15.6" x14ac:dyDescent="0.3">
      <c r="A31" s="4" t="s">
        <v>76</v>
      </c>
      <c r="B31" s="8">
        <v>44949</v>
      </c>
      <c r="C31" s="4" t="s">
        <v>34</v>
      </c>
      <c r="D31" s="4" t="s">
        <v>35</v>
      </c>
      <c r="E31" s="4" t="s">
        <v>74</v>
      </c>
      <c r="F31" s="4" t="s">
        <v>42</v>
      </c>
      <c r="G31" s="4">
        <v>2</v>
      </c>
      <c r="H31" s="5">
        <v>18000</v>
      </c>
      <c r="I31" s="5">
        <v>36000</v>
      </c>
      <c r="J31" s="4" t="s">
        <v>44</v>
      </c>
      <c r="K31" s="4" t="s">
        <v>25</v>
      </c>
      <c r="L31">
        <f t="shared" si="0"/>
        <v>36000</v>
      </c>
    </row>
    <row r="32" spans="1:12" ht="15.6" x14ac:dyDescent="0.3">
      <c r="A32" s="4" t="s">
        <v>77</v>
      </c>
      <c r="B32" s="8">
        <v>44950</v>
      </c>
      <c r="C32" s="4" t="s">
        <v>24</v>
      </c>
      <c r="D32" s="4" t="s">
        <v>19</v>
      </c>
      <c r="E32" s="4" t="s">
        <v>49</v>
      </c>
      <c r="F32" s="4" t="s">
        <v>50</v>
      </c>
      <c r="G32" s="4">
        <v>4</v>
      </c>
      <c r="H32" s="5">
        <v>129000</v>
      </c>
      <c r="I32" s="5">
        <v>516000</v>
      </c>
      <c r="J32" s="4" t="s">
        <v>16</v>
      </c>
      <c r="K32" s="4"/>
      <c r="L32">
        <f t="shared" si="0"/>
        <v>516000</v>
      </c>
    </row>
    <row r="33" spans="1:12" ht="15.6" x14ac:dyDescent="0.3">
      <c r="A33" s="4" t="s">
        <v>78</v>
      </c>
      <c r="B33" s="8">
        <v>44958</v>
      </c>
      <c r="C33" s="4" t="s">
        <v>34</v>
      </c>
      <c r="D33" s="4" t="s">
        <v>35</v>
      </c>
      <c r="E33" s="4" t="s">
        <v>54</v>
      </c>
      <c r="F33" s="4" t="s">
        <v>50</v>
      </c>
      <c r="G33" s="4">
        <v>1</v>
      </c>
      <c r="H33" s="5">
        <v>189000</v>
      </c>
      <c r="I33" s="5">
        <v>189000</v>
      </c>
      <c r="J33" s="4" t="s">
        <v>16</v>
      </c>
      <c r="K33" s="4" t="s">
        <v>21</v>
      </c>
      <c r="L33">
        <f t="shared" si="0"/>
        <v>189000</v>
      </c>
    </row>
    <row r="34" spans="1:12" ht="15.6" x14ac:dyDescent="0.3">
      <c r="A34" s="4" t="s">
        <v>79</v>
      </c>
      <c r="B34" s="8">
        <v>44959</v>
      </c>
      <c r="C34" s="4" t="s">
        <v>12</v>
      </c>
      <c r="D34" s="4" t="s">
        <v>13</v>
      </c>
      <c r="E34" s="4" t="s">
        <v>57</v>
      </c>
      <c r="F34" s="4" t="s">
        <v>38</v>
      </c>
      <c r="G34" s="4">
        <v>4</v>
      </c>
      <c r="H34" s="5">
        <v>39000</v>
      </c>
      <c r="I34" s="5">
        <v>156000</v>
      </c>
      <c r="J34" s="4" t="s">
        <v>16</v>
      </c>
      <c r="K34" s="4" t="s">
        <v>25</v>
      </c>
      <c r="L34">
        <f t="shared" si="0"/>
        <v>156000</v>
      </c>
    </row>
    <row r="35" spans="1:12" ht="15.6" x14ac:dyDescent="0.3">
      <c r="A35" s="4" t="s">
        <v>80</v>
      </c>
      <c r="B35" s="8">
        <v>44959</v>
      </c>
      <c r="C35" s="4" t="s">
        <v>27</v>
      </c>
      <c r="D35" s="4" t="s">
        <v>13</v>
      </c>
      <c r="E35" s="4" t="s">
        <v>52</v>
      </c>
      <c r="F35" s="4" t="s">
        <v>38</v>
      </c>
      <c r="G35" s="4">
        <v>4</v>
      </c>
      <c r="H35" s="5">
        <v>35000</v>
      </c>
      <c r="I35" s="5">
        <v>140000</v>
      </c>
      <c r="J35" s="4" t="s">
        <v>44</v>
      </c>
      <c r="K35" s="4"/>
      <c r="L35">
        <f t="shared" si="0"/>
        <v>140000</v>
      </c>
    </row>
    <row r="36" spans="1:12" ht="15.6" x14ac:dyDescent="0.3">
      <c r="A36" s="4" t="s">
        <v>81</v>
      </c>
      <c r="B36" s="8">
        <v>44960</v>
      </c>
      <c r="C36" s="4" t="s">
        <v>24</v>
      </c>
      <c r="D36" s="4" t="s">
        <v>19</v>
      </c>
      <c r="E36" s="4" t="s">
        <v>59</v>
      </c>
      <c r="F36" s="4" t="s">
        <v>42</v>
      </c>
      <c r="G36" s="4">
        <v>5</v>
      </c>
      <c r="H36" s="5">
        <v>18000</v>
      </c>
      <c r="I36" s="5">
        <v>90000</v>
      </c>
      <c r="J36" s="4" t="s">
        <v>30</v>
      </c>
      <c r="K36" s="4"/>
      <c r="L36">
        <f t="shared" si="0"/>
        <v>90000</v>
      </c>
    </row>
    <row r="37" spans="1:12" ht="15.6" x14ac:dyDescent="0.3">
      <c r="A37" s="4" t="s">
        <v>82</v>
      </c>
      <c r="B37" s="8">
        <v>44961</v>
      </c>
      <c r="C37" s="4" t="s">
        <v>18</v>
      </c>
      <c r="D37" s="4" t="s">
        <v>19</v>
      </c>
      <c r="E37" s="4" t="s">
        <v>57</v>
      </c>
      <c r="F37" s="4" t="s">
        <v>38</v>
      </c>
      <c r="G37" s="4">
        <v>2</v>
      </c>
      <c r="H37" s="5">
        <v>39000</v>
      </c>
      <c r="I37" s="5">
        <v>78000</v>
      </c>
      <c r="J37" s="4" t="s">
        <v>44</v>
      </c>
      <c r="K37" s="4"/>
      <c r="L37">
        <f t="shared" si="0"/>
        <v>78000</v>
      </c>
    </row>
    <row r="38" spans="1:12" ht="15.6" x14ac:dyDescent="0.3">
      <c r="A38" s="4" t="s">
        <v>83</v>
      </c>
      <c r="B38" s="8">
        <v>44962</v>
      </c>
      <c r="C38" s="4" t="s">
        <v>18</v>
      </c>
      <c r="D38" s="4" t="s">
        <v>19</v>
      </c>
      <c r="E38" s="4" t="s">
        <v>52</v>
      </c>
      <c r="F38" s="4" t="s">
        <v>38</v>
      </c>
      <c r="G38" s="4">
        <v>3</v>
      </c>
      <c r="H38" s="5">
        <v>35000</v>
      </c>
      <c r="I38" s="5">
        <v>105000</v>
      </c>
      <c r="J38" s="4" t="s">
        <v>30</v>
      </c>
      <c r="K38" s="4" t="s">
        <v>25</v>
      </c>
      <c r="L38">
        <f t="shared" si="0"/>
        <v>105000</v>
      </c>
    </row>
    <row r="39" spans="1:12" ht="15.6" x14ac:dyDescent="0.3">
      <c r="A39" s="4" t="s">
        <v>84</v>
      </c>
      <c r="B39" s="8">
        <v>44962</v>
      </c>
      <c r="C39" s="4" t="s">
        <v>12</v>
      </c>
      <c r="D39" s="4" t="s">
        <v>13</v>
      </c>
      <c r="E39" s="4" t="s">
        <v>54</v>
      </c>
      <c r="F39" s="4" t="s">
        <v>50</v>
      </c>
      <c r="G39" s="4">
        <v>2</v>
      </c>
      <c r="H39" s="5">
        <v>189000</v>
      </c>
      <c r="I39" s="5">
        <v>378000</v>
      </c>
      <c r="J39" s="4" t="s">
        <v>16</v>
      </c>
      <c r="K39" s="4" t="s">
        <v>47</v>
      </c>
      <c r="L39">
        <f t="shared" si="0"/>
        <v>378000</v>
      </c>
    </row>
    <row r="40" spans="1:12" ht="15.6" x14ac:dyDescent="0.3">
      <c r="A40" s="4" t="s">
        <v>85</v>
      </c>
      <c r="B40" s="8">
        <v>44963</v>
      </c>
      <c r="C40" s="4" t="s">
        <v>24</v>
      </c>
      <c r="D40" s="4" t="s">
        <v>19</v>
      </c>
      <c r="E40" s="4" t="s">
        <v>70</v>
      </c>
      <c r="F40" s="4" t="s">
        <v>29</v>
      </c>
      <c r="G40" s="4">
        <v>2</v>
      </c>
      <c r="H40" s="5">
        <v>79000</v>
      </c>
      <c r="I40" s="5">
        <v>158000</v>
      </c>
      <c r="J40" s="4" t="s">
        <v>44</v>
      </c>
      <c r="K40" s="4"/>
      <c r="L40">
        <f t="shared" si="0"/>
        <v>158000</v>
      </c>
    </row>
    <row r="41" spans="1:12" ht="15.6" x14ac:dyDescent="0.3">
      <c r="A41" s="4" t="s">
        <v>86</v>
      </c>
      <c r="B41" s="8">
        <v>44964</v>
      </c>
      <c r="C41" s="4" t="s">
        <v>12</v>
      </c>
      <c r="D41" s="4" t="s">
        <v>13</v>
      </c>
      <c r="E41" s="4" t="s">
        <v>57</v>
      </c>
      <c r="F41" s="4" t="s">
        <v>38</v>
      </c>
      <c r="G41" s="4">
        <v>1</v>
      </c>
      <c r="H41" s="5">
        <v>39000</v>
      </c>
      <c r="I41" s="5">
        <v>39000</v>
      </c>
      <c r="J41" s="4" t="s">
        <v>16</v>
      </c>
      <c r="K41" s="4"/>
      <c r="L41">
        <f t="shared" si="0"/>
        <v>39000</v>
      </c>
    </row>
    <row r="42" spans="1:12" ht="15.6" x14ac:dyDescent="0.3">
      <c r="A42" s="4" t="s">
        <v>87</v>
      </c>
      <c r="B42" s="8">
        <v>44965</v>
      </c>
      <c r="C42" s="4" t="s">
        <v>34</v>
      </c>
      <c r="D42" s="4" t="s">
        <v>35</v>
      </c>
      <c r="E42" s="4" t="s">
        <v>20</v>
      </c>
      <c r="F42" s="4" t="s">
        <v>15</v>
      </c>
      <c r="G42" s="4">
        <v>5</v>
      </c>
      <c r="H42" s="5">
        <v>45000</v>
      </c>
      <c r="I42" s="5">
        <v>225000</v>
      </c>
      <c r="J42" s="4" t="s">
        <v>16</v>
      </c>
      <c r="K42" s="4"/>
      <c r="L42">
        <f t="shared" si="0"/>
        <v>225000</v>
      </c>
    </row>
    <row r="43" spans="1:12" ht="15.6" x14ac:dyDescent="0.3">
      <c r="A43" s="4" t="s">
        <v>88</v>
      </c>
      <c r="B43" s="8">
        <v>44965</v>
      </c>
      <c r="C43" s="4" t="s">
        <v>68</v>
      </c>
      <c r="D43" s="4" t="s">
        <v>35</v>
      </c>
      <c r="E43" s="4" t="s">
        <v>54</v>
      </c>
      <c r="F43" s="4" t="s">
        <v>50</v>
      </c>
      <c r="G43" s="4">
        <v>5</v>
      </c>
      <c r="H43" s="5">
        <v>189000</v>
      </c>
      <c r="I43" s="5">
        <v>945000</v>
      </c>
      <c r="J43" s="4" t="s">
        <v>16</v>
      </c>
      <c r="K43" s="4" t="s">
        <v>21</v>
      </c>
      <c r="L43">
        <f t="shared" si="0"/>
        <v>945000</v>
      </c>
    </row>
    <row r="44" spans="1:12" ht="15.6" x14ac:dyDescent="0.3">
      <c r="A44" s="4" t="s">
        <v>89</v>
      </c>
      <c r="B44" s="8">
        <v>44966</v>
      </c>
      <c r="C44" s="4" t="s">
        <v>68</v>
      </c>
      <c r="D44" s="4" t="s">
        <v>35</v>
      </c>
      <c r="E44" s="4" t="s">
        <v>54</v>
      </c>
      <c r="F44" s="4" t="s">
        <v>50</v>
      </c>
      <c r="G44" s="4">
        <v>4</v>
      </c>
      <c r="H44" s="5">
        <v>189000</v>
      </c>
      <c r="I44" s="5">
        <v>756000</v>
      </c>
      <c r="J44" s="4" t="s">
        <v>30</v>
      </c>
      <c r="K44" s="4"/>
      <c r="L44">
        <f t="shared" si="0"/>
        <v>756000</v>
      </c>
    </row>
    <row r="45" spans="1:12" ht="15.6" x14ac:dyDescent="0.3">
      <c r="A45" s="4" t="s">
        <v>90</v>
      </c>
      <c r="B45" s="8">
        <v>44967</v>
      </c>
      <c r="C45" s="4" t="s">
        <v>12</v>
      </c>
      <c r="D45" s="4" t="s">
        <v>13</v>
      </c>
      <c r="E45" s="4" t="s">
        <v>52</v>
      </c>
      <c r="F45" s="4" t="s">
        <v>38</v>
      </c>
      <c r="G45" s="4">
        <v>4</v>
      </c>
      <c r="H45" s="5">
        <v>35000</v>
      </c>
      <c r="I45" s="5">
        <v>140000</v>
      </c>
      <c r="J45" s="4" t="s">
        <v>30</v>
      </c>
      <c r="K45" s="4" t="s">
        <v>55</v>
      </c>
      <c r="L45">
        <f t="shared" si="0"/>
        <v>140000</v>
      </c>
    </row>
    <row r="46" spans="1:12" ht="15.6" x14ac:dyDescent="0.3">
      <c r="A46" s="4" t="s">
        <v>91</v>
      </c>
      <c r="B46" s="8">
        <v>44968</v>
      </c>
      <c r="C46" s="4" t="s">
        <v>68</v>
      </c>
      <c r="D46" s="4" t="s">
        <v>35</v>
      </c>
      <c r="E46" s="4" t="s">
        <v>59</v>
      </c>
      <c r="F46" s="4" t="s">
        <v>42</v>
      </c>
      <c r="G46" s="4">
        <v>1</v>
      </c>
      <c r="H46" s="5">
        <v>18000</v>
      </c>
      <c r="I46" s="5">
        <v>18000</v>
      </c>
      <c r="J46" s="4" t="s">
        <v>44</v>
      </c>
      <c r="K46" s="4"/>
      <c r="L46">
        <f t="shared" si="0"/>
        <v>18000</v>
      </c>
    </row>
    <row r="47" spans="1:12" ht="15.6" x14ac:dyDescent="0.3">
      <c r="A47" s="4" t="s">
        <v>92</v>
      </c>
      <c r="B47" s="8">
        <v>44968</v>
      </c>
      <c r="C47" s="4" t="s">
        <v>68</v>
      </c>
      <c r="D47" s="4" t="s">
        <v>35</v>
      </c>
      <c r="E47" s="4" t="s">
        <v>57</v>
      </c>
      <c r="F47" s="4" t="s">
        <v>38</v>
      </c>
      <c r="G47" s="4">
        <v>3</v>
      </c>
      <c r="H47" s="5">
        <v>39000</v>
      </c>
      <c r="I47" s="5">
        <v>117000</v>
      </c>
      <c r="J47" s="4" t="s">
        <v>16</v>
      </c>
      <c r="K47" s="4"/>
      <c r="L47">
        <f t="shared" si="0"/>
        <v>117000</v>
      </c>
    </row>
    <row r="48" spans="1:12" ht="15.6" x14ac:dyDescent="0.3">
      <c r="A48" s="4" t="s">
        <v>93</v>
      </c>
      <c r="B48" s="8">
        <v>44969</v>
      </c>
      <c r="C48" s="4" t="s">
        <v>27</v>
      </c>
      <c r="D48" s="4" t="s">
        <v>13</v>
      </c>
      <c r="E48" s="4" t="s">
        <v>70</v>
      </c>
      <c r="F48" s="4" t="s">
        <v>29</v>
      </c>
      <c r="G48" s="4">
        <v>4</v>
      </c>
      <c r="H48" s="5">
        <v>79000</v>
      </c>
      <c r="I48" s="5">
        <v>316000</v>
      </c>
      <c r="J48" s="4" t="s">
        <v>16</v>
      </c>
      <c r="K48" s="4" t="s">
        <v>55</v>
      </c>
      <c r="L48">
        <f t="shared" si="0"/>
        <v>316000</v>
      </c>
    </row>
    <row r="49" spans="1:12" ht="15.6" x14ac:dyDescent="0.3">
      <c r="A49" s="4" t="s">
        <v>94</v>
      </c>
      <c r="B49" s="8">
        <v>44970</v>
      </c>
      <c r="C49" s="4" t="s">
        <v>34</v>
      </c>
      <c r="D49" s="4" t="s">
        <v>35</v>
      </c>
      <c r="E49" s="4" t="s">
        <v>28</v>
      </c>
      <c r="F49" s="4" t="s">
        <v>29</v>
      </c>
      <c r="G49" s="4">
        <v>2</v>
      </c>
      <c r="H49" s="5">
        <v>129000</v>
      </c>
      <c r="I49" s="5">
        <v>258000</v>
      </c>
      <c r="J49" s="4" t="s">
        <v>16</v>
      </c>
      <c r="K49" s="4" t="s">
        <v>39</v>
      </c>
      <c r="L49">
        <f t="shared" si="0"/>
        <v>258000</v>
      </c>
    </row>
    <row r="50" spans="1:12" ht="15.6" x14ac:dyDescent="0.3">
      <c r="A50" s="4" t="s">
        <v>95</v>
      </c>
      <c r="B50" s="8">
        <v>44971</v>
      </c>
      <c r="C50" s="4" t="s">
        <v>12</v>
      </c>
      <c r="D50" s="4" t="s">
        <v>13</v>
      </c>
      <c r="E50" s="4" t="s">
        <v>14</v>
      </c>
      <c r="F50" s="4" t="s">
        <v>15</v>
      </c>
      <c r="G50" s="4">
        <v>5</v>
      </c>
      <c r="H50" s="5">
        <v>55000</v>
      </c>
      <c r="I50" s="5">
        <v>275000</v>
      </c>
      <c r="J50" s="4" t="s">
        <v>16</v>
      </c>
      <c r="K50" s="4"/>
      <c r="L50">
        <f t="shared" si="0"/>
        <v>275000</v>
      </c>
    </row>
    <row r="51" spans="1:12" ht="15.6" x14ac:dyDescent="0.3">
      <c r="A51" s="4" t="s">
        <v>96</v>
      </c>
      <c r="B51" s="8">
        <v>44972</v>
      </c>
      <c r="C51" s="4" t="s">
        <v>27</v>
      </c>
      <c r="D51" s="4" t="s">
        <v>13</v>
      </c>
      <c r="E51" s="4" t="s">
        <v>32</v>
      </c>
      <c r="F51" s="4" t="s">
        <v>29</v>
      </c>
      <c r="G51" s="4">
        <v>4</v>
      </c>
      <c r="H51" s="5">
        <v>59000</v>
      </c>
      <c r="I51" s="5">
        <v>236000</v>
      </c>
      <c r="J51" s="4" t="s">
        <v>30</v>
      </c>
      <c r="K51" s="4"/>
      <c r="L51">
        <f t="shared" si="0"/>
        <v>236000</v>
      </c>
    </row>
    <row r="52" spans="1:12" ht="15.6" x14ac:dyDescent="0.3">
      <c r="A52" s="4" t="s">
        <v>97</v>
      </c>
      <c r="B52" s="8">
        <v>44972</v>
      </c>
      <c r="C52" s="4" t="s">
        <v>12</v>
      </c>
      <c r="D52" s="4" t="s">
        <v>13</v>
      </c>
      <c r="E52" s="4" t="s">
        <v>63</v>
      </c>
      <c r="F52" s="4" t="s">
        <v>15</v>
      </c>
      <c r="G52" s="4">
        <v>4</v>
      </c>
      <c r="H52" s="5">
        <v>65000</v>
      </c>
      <c r="I52" s="5">
        <v>260000</v>
      </c>
      <c r="J52" s="4" t="s">
        <v>16</v>
      </c>
      <c r="K52" s="4" t="s">
        <v>55</v>
      </c>
      <c r="L52">
        <f t="shared" si="0"/>
        <v>260000</v>
      </c>
    </row>
    <row r="53" spans="1:12" ht="15.6" x14ac:dyDescent="0.3">
      <c r="A53" s="4" t="s">
        <v>98</v>
      </c>
      <c r="B53" s="8">
        <v>44973</v>
      </c>
      <c r="C53" s="4" t="s">
        <v>68</v>
      </c>
      <c r="D53" s="4" t="s">
        <v>35</v>
      </c>
      <c r="E53" s="4" t="s">
        <v>99</v>
      </c>
      <c r="F53" s="4" t="s">
        <v>50</v>
      </c>
      <c r="G53" s="4">
        <v>4</v>
      </c>
      <c r="H53" s="5">
        <v>159000</v>
      </c>
      <c r="I53" s="5">
        <v>636000</v>
      </c>
      <c r="J53" s="4" t="s">
        <v>44</v>
      </c>
      <c r="K53" s="4" t="s">
        <v>25</v>
      </c>
      <c r="L53">
        <f t="shared" si="0"/>
        <v>636000</v>
      </c>
    </row>
    <row r="54" spans="1:12" ht="15.6" x14ac:dyDescent="0.3">
      <c r="A54" s="4" t="s">
        <v>100</v>
      </c>
      <c r="B54" s="8">
        <v>44974</v>
      </c>
      <c r="C54" s="4" t="s">
        <v>18</v>
      </c>
      <c r="D54" s="4" t="s">
        <v>19</v>
      </c>
      <c r="E54" s="4" t="s">
        <v>28</v>
      </c>
      <c r="F54" s="4" t="s">
        <v>29</v>
      </c>
      <c r="G54" s="4">
        <v>2</v>
      </c>
      <c r="H54" s="5">
        <v>129000</v>
      </c>
      <c r="I54" s="5">
        <v>258000</v>
      </c>
      <c r="J54" s="4" t="s">
        <v>16</v>
      </c>
      <c r="K54" s="4"/>
      <c r="L54">
        <f t="shared" si="0"/>
        <v>258000</v>
      </c>
    </row>
    <row r="55" spans="1:12" ht="15.6" x14ac:dyDescent="0.3">
      <c r="A55" s="4" t="s">
        <v>101</v>
      </c>
      <c r="B55" s="8">
        <v>44975</v>
      </c>
      <c r="C55" s="4" t="s">
        <v>12</v>
      </c>
      <c r="D55" s="4" t="s">
        <v>13</v>
      </c>
      <c r="E55" s="4" t="s">
        <v>37</v>
      </c>
      <c r="F55" s="4" t="s">
        <v>38</v>
      </c>
      <c r="G55" s="4">
        <v>5</v>
      </c>
      <c r="H55" s="5">
        <v>25000</v>
      </c>
      <c r="I55" s="5">
        <v>125000</v>
      </c>
      <c r="J55" s="4" t="s">
        <v>16</v>
      </c>
      <c r="K55" s="4" t="s">
        <v>47</v>
      </c>
      <c r="L55">
        <f t="shared" si="0"/>
        <v>125000</v>
      </c>
    </row>
    <row r="56" spans="1:12" ht="15.6" x14ac:dyDescent="0.3">
      <c r="A56" s="4" t="s">
        <v>102</v>
      </c>
      <c r="B56" s="8">
        <v>44975</v>
      </c>
      <c r="C56" s="4" t="s">
        <v>12</v>
      </c>
      <c r="D56" s="4" t="s">
        <v>13</v>
      </c>
      <c r="E56" s="4" t="s">
        <v>37</v>
      </c>
      <c r="F56" s="4" t="s">
        <v>38</v>
      </c>
      <c r="G56" s="4">
        <v>4</v>
      </c>
      <c r="H56" s="5">
        <v>25000</v>
      </c>
      <c r="I56" s="5">
        <v>100000</v>
      </c>
      <c r="J56" s="4" t="s">
        <v>44</v>
      </c>
      <c r="K56" s="4" t="s">
        <v>25</v>
      </c>
      <c r="L56">
        <f t="shared" si="0"/>
        <v>100000</v>
      </c>
    </row>
    <row r="57" spans="1:12" ht="15.6" x14ac:dyDescent="0.3">
      <c r="A57" s="4" t="s">
        <v>103</v>
      </c>
      <c r="B57" s="8">
        <v>44976</v>
      </c>
      <c r="C57" s="4" t="s">
        <v>12</v>
      </c>
      <c r="D57" s="4" t="s">
        <v>13</v>
      </c>
      <c r="E57" s="4" t="s">
        <v>70</v>
      </c>
      <c r="F57" s="4" t="s">
        <v>29</v>
      </c>
      <c r="G57" s="4">
        <v>1</v>
      </c>
      <c r="H57" s="5">
        <v>79000</v>
      </c>
      <c r="I57" s="5">
        <v>79000</v>
      </c>
      <c r="J57" s="4" t="s">
        <v>16</v>
      </c>
      <c r="K57" s="4"/>
      <c r="L57">
        <f t="shared" si="0"/>
        <v>79000</v>
      </c>
    </row>
    <row r="58" spans="1:12" ht="15.6" x14ac:dyDescent="0.3">
      <c r="A58" s="4" t="s">
        <v>104</v>
      </c>
      <c r="B58" s="8">
        <v>44977</v>
      </c>
      <c r="C58" s="4" t="s">
        <v>12</v>
      </c>
      <c r="D58" s="4" t="s">
        <v>13</v>
      </c>
      <c r="E58" s="4" t="s">
        <v>52</v>
      </c>
      <c r="F58" s="4" t="s">
        <v>38</v>
      </c>
      <c r="G58" s="4">
        <v>2</v>
      </c>
      <c r="H58" s="5">
        <v>35000</v>
      </c>
      <c r="I58" s="5">
        <v>70000</v>
      </c>
      <c r="J58" s="4" t="s">
        <v>30</v>
      </c>
      <c r="K58" s="4"/>
      <c r="L58">
        <f t="shared" si="0"/>
        <v>70000</v>
      </c>
    </row>
    <row r="59" spans="1:12" ht="15.6" x14ac:dyDescent="0.3">
      <c r="A59" s="4" t="s">
        <v>105</v>
      </c>
      <c r="B59" s="8">
        <v>44978</v>
      </c>
      <c r="C59" s="4" t="s">
        <v>27</v>
      </c>
      <c r="D59" s="4" t="s">
        <v>13</v>
      </c>
      <c r="E59" s="4" t="s">
        <v>37</v>
      </c>
      <c r="F59" s="4" t="s">
        <v>38</v>
      </c>
      <c r="G59" s="4">
        <v>5</v>
      </c>
      <c r="H59" s="5">
        <v>25000</v>
      </c>
      <c r="I59" s="5">
        <v>125000</v>
      </c>
      <c r="J59" s="4" t="s">
        <v>16</v>
      </c>
      <c r="K59" s="4" t="s">
        <v>21</v>
      </c>
      <c r="L59">
        <f t="shared" si="0"/>
        <v>125000</v>
      </c>
    </row>
    <row r="60" spans="1:12" ht="15.6" x14ac:dyDescent="0.3">
      <c r="A60" s="4" t="s">
        <v>106</v>
      </c>
      <c r="B60" s="8">
        <v>44979</v>
      </c>
      <c r="C60" s="4" t="s">
        <v>68</v>
      </c>
      <c r="D60" s="4" t="s">
        <v>35</v>
      </c>
      <c r="E60" s="4" t="s">
        <v>52</v>
      </c>
      <c r="F60" s="4" t="s">
        <v>38</v>
      </c>
      <c r="G60" s="4">
        <v>5</v>
      </c>
      <c r="H60" s="5">
        <v>35000</v>
      </c>
      <c r="I60" s="5">
        <v>175000</v>
      </c>
      <c r="J60" s="4" t="s">
        <v>44</v>
      </c>
      <c r="K60" s="4" t="s">
        <v>25</v>
      </c>
      <c r="L60">
        <f t="shared" si="0"/>
        <v>175000</v>
      </c>
    </row>
    <row r="61" spans="1:12" ht="15.6" x14ac:dyDescent="0.3">
      <c r="A61" s="4" t="s">
        <v>107</v>
      </c>
      <c r="B61" s="8">
        <v>44980</v>
      </c>
      <c r="C61" s="4" t="s">
        <v>34</v>
      </c>
      <c r="D61" s="4" t="s">
        <v>35</v>
      </c>
      <c r="E61" s="4" t="s">
        <v>54</v>
      </c>
      <c r="F61" s="4" t="s">
        <v>50</v>
      </c>
      <c r="G61" s="4">
        <v>3</v>
      </c>
      <c r="H61" s="5">
        <v>189000</v>
      </c>
      <c r="I61" s="5">
        <v>567000</v>
      </c>
      <c r="J61" s="4" t="s">
        <v>16</v>
      </c>
      <c r="K61" s="4"/>
      <c r="L61">
        <f t="shared" si="0"/>
        <v>567000</v>
      </c>
    </row>
    <row r="62" spans="1:12" ht="15.6" x14ac:dyDescent="0.3">
      <c r="A62" s="4" t="s">
        <v>108</v>
      </c>
      <c r="B62" s="8">
        <v>44980</v>
      </c>
      <c r="C62" s="4" t="s">
        <v>27</v>
      </c>
      <c r="D62" s="4" t="s">
        <v>13</v>
      </c>
      <c r="E62" s="4" t="s">
        <v>52</v>
      </c>
      <c r="F62" s="4" t="s">
        <v>38</v>
      </c>
      <c r="G62" s="4">
        <v>3</v>
      </c>
      <c r="H62" s="5">
        <v>35000</v>
      </c>
      <c r="I62" s="5">
        <v>105000</v>
      </c>
      <c r="J62" s="4" t="s">
        <v>30</v>
      </c>
      <c r="K62" s="4" t="s">
        <v>47</v>
      </c>
      <c r="L62">
        <f t="shared" si="0"/>
        <v>105000</v>
      </c>
    </row>
    <row r="63" spans="1:12" ht="15.6" x14ac:dyDescent="0.3">
      <c r="A63" s="4" t="s">
        <v>109</v>
      </c>
      <c r="B63" s="8">
        <v>44981</v>
      </c>
      <c r="C63" s="4" t="s">
        <v>12</v>
      </c>
      <c r="D63" s="4" t="s">
        <v>13</v>
      </c>
      <c r="E63" s="4" t="s">
        <v>28</v>
      </c>
      <c r="F63" s="4" t="s">
        <v>29</v>
      </c>
      <c r="G63" s="4">
        <v>5</v>
      </c>
      <c r="H63" s="5">
        <v>129000</v>
      </c>
      <c r="I63" s="5">
        <v>645000</v>
      </c>
      <c r="J63" s="4" t="s">
        <v>44</v>
      </c>
      <c r="K63" s="4"/>
      <c r="L63">
        <f t="shared" si="0"/>
        <v>645000</v>
      </c>
    </row>
    <row r="64" spans="1:12" ht="15.6" x14ac:dyDescent="0.3">
      <c r="A64" s="4" t="s">
        <v>110</v>
      </c>
      <c r="B64" s="8">
        <v>44982</v>
      </c>
      <c r="C64" s="4" t="s">
        <v>24</v>
      </c>
      <c r="D64" s="4" t="s">
        <v>19</v>
      </c>
      <c r="E64" s="4" t="s">
        <v>54</v>
      </c>
      <c r="F64" s="4" t="s">
        <v>50</v>
      </c>
      <c r="G64" s="4">
        <v>5</v>
      </c>
      <c r="H64" s="5">
        <v>189000</v>
      </c>
      <c r="I64" s="5">
        <v>945000</v>
      </c>
      <c r="J64" s="4" t="s">
        <v>30</v>
      </c>
      <c r="K64" s="4"/>
      <c r="L64">
        <f t="shared" si="0"/>
        <v>945000</v>
      </c>
    </row>
    <row r="65" spans="1:12" ht="15.6" x14ac:dyDescent="0.3">
      <c r="A65" s="4" t="s">
        <v>111</v>
      </c>
      <c r="B65" s="8">
        <v>44983</v>
      </c>
      <c r="C65" s="4" t="s">
        <v>12</v>
      </c>
      <c r="D65" s="4" t="s">
        <v>13</v>
      </c>
      <c r="E65" s="4" t="s">
        <v>41</v>
      </c>
      <c r="F65" s="4" t="s">
        <v>42</v>
      </c>
      <c r="G65" s="4">
        <v>2</v>
      </c>
      <c r="H65" s="5">
        <v>25000</v>
      </c>
      <c r="I65" s="5">
        <v>50000</v>
      </c>
      <c r="J65" s="4" t="s">
        <v>30</v>
      </c>
      <c r="K65" s="4"/>
      <c r="L65">
        <f t="shared" si="0"/>
        <v>50000</v>
      </c>
    </row>
    <row r="66" spans="1:12" ht="15.6" x14ac:dyDescent="0.3">
      <c r="A66" s="4" t="s">
        <v>112</v>
      </c>
      <c r="B66" s="8">
        <v>44984</v>
      </c>
      <c r="C66" s="4" t="s">
        <v>68</v>
      </c>
      <c r="D66" s="4" t="s">
        <v>35</v>
      </c>
      <c r="E66" s="4" t="s">
        <v>59</v>
      </c>
      <c r="F66" s="4" t="s">
        <v>42</v>
      </c>
      <c r="G66" s="4">
        <v>5</v>
      </c>
      <c r="H66" s="5">
        <v>18000</v>
      </c>
      <c r="I66" s="5">
        <v>90000</v>
      </c>
      <c r="J66" s="4" t="s">
        <v>44</v>
      </c>
      <c r="K66" s="4"/>
      <c r="L66">
        <f t="shared" si="0"/>
        <v>90000</v>
      </c>
    </row>
    <row r="67" spans="1:12" ht="15.6" x14ac:dyDescent="0.3">
      <c r="A67" s="4" t="s">
        <v>113</v>
      </c>
      <c r="B67" s="8">
        <v>44985</v>
      </c>
      <c r="C67" s="4" t="s">
        <v>18</v>
      </c>
      <c r="D67" s="4" t="s">
        <v>19</v>
      </c>
      <c r="E67" s="4" t="s">
        <v>70</v>
      </c>
      <c r="F67" s="4" t="s">
        <v>29</v>
      </c>
      <c r="G67" s="4">
        <v>1</v>
      </c>
      <c r="H67" s="5">
        <v>79000</v>
      </c>
      <c r="I67" s="5">
        <v>79000</v>
      </c>
      <c r="J67" s="4" t="s">
        <v>44</v>
      </c>
      <c r="K67" s="4" t="s">
        <v>25</v>
      </c>
      <c r="L67">
        <f t="shared" ref="L67:L130" si="1">G67*H67</f>
        <v>79000</v>
      </c>
    </row>
    <row r="68" spans="1:12" ht="15.6" x14ac:dyDescent="0.3">
      <c r="A68" s="4" t="s">
        <v>114</v>
      </c>
      <c r="B68" s="8">
        <v>44986</v>
      </c>
      <c r="C68" s="4" t="s">
        <v>18</v>
      </c>
      <c r="D68" s="4" t="s">
        <v>19</v>
      </c>
      <c r="E68" s="4" t="s">
        <v>20</v>
      </c>
      <c r="F68" s="4" t="s">
        <v>15</v>
      </c>
      <c r="G68" s="4">
        <v>2</v>
      </c>
      <c r="H68" s="5">
        <v>45000</v>
      </c>
      <c r="I68" s="5">
        <v>90000</v>
      </c>
      <c r="J68" s="4" t="s">
        <v>30</v>
      </c>
      <c r="K68" s="4"/>
      <c r="L68">
        <f t="shared" si="1"/>
        <v>90000</v>
      </c>
    </row>
    <row r="69" spans="1:12" ht="15.6" x14ac:dyDescent="0.3">
      <c r="A69" s="4" t="s">
        <v>115</v>
      </c>
      <c r="B69" s="8">
        <v>44987</v>
      </c>
      <c r="C69" s="4" t="s">
        <v>18</v>
      </c>
      <c r="D69" s="4" t="s">
        <v>19</v>
      </c>
      <c r="E69" s="4" t="s">
        <v>70</v>
      </c>
      <c r="F69" s="4" t="s">
        <v>29</v>
      </c>
      <c r="G69" s="4">
        <v>2</v>
      </c>
      <c r="H69" s="5">
        <v>79000</v>
      </c>
      <c r="I69" s="5">
        <v>158000</v>
      </c>
      <c r="J69" s="4" t="s">
        <v>30</v>
      </c>
      <c r="K69" s="4"/>
      <c r="L69">
        <f t="shared" si="1"/>
        <v>158000</v>
      </c>
    </row>
    <row r="70" spans="1:12" ht="15.6" x14ac:dyDescent="0.3">
      <c r="A70" s="4" t="s">
        <v>116</v>
      </c>
      <c r="B70" s="8">
        <v>44987</v>
      </c>
      <c r="C70" s="4" t="s">
        <v>27</v>
      </c>
      <c r="D70" s="4" t="s">
        <v>13</v>
      </c>
      <c r="E70" s="4" t="s">
        <v>57</v>
      </c>
      <c r="F70" s="4" t="s">
        <v>38</v>
      </c>
      <c r="G70" s="4">
        <v>3</v>
      </c>
      <c r="H70" s="5">
        <v>39000</v>
      </c>
      <c r="I70" s="5">
        <v>117000</v>
      </c>
      <c r="J70" s="4" t="s">
        <v>16</v>
      </c>
      <c r="K70" s="4"/>
      <c r="L70">
        <f t="shared" si="1"/>
        <v>117000</v>
      </c>
    </row>
    <row r="71" spans="1:12" ht="15.6" x14ac:dyDescent="0.3">
      <c r="A71" s="4" t="s">
        <v>117</v>
      </c>
      <c r="B71" s="8">
        <v>44988</v>
      </c>
      <c r="C71" s="4" t="s">
        <v>68</v>
      </c>
      <c r="D71" s="4" t="s">
        <v>35</v>
      </c>
      <c r="E71" s="4" t="s">
        <v>99</v>
      </c>
      <c r="F71" s="4" t="s">
        <v>50</v>
      </c>
      <c r="G71" s="4">
        <v>1</v>
      </c>
      <c r="H71" s="5">
        <v>159000</v>
      </c>
      <c r="I71" s="5">
        <v>159000</v>
      </c>
      <c r="J71" s="4" t="s">
        <v>16</v>
      </c>
      <c r="K71" s="4" t="s">
        <v>55</v>
      </c>
      <c r="L71">
        <f t="shared" si="1"/>
        <v>159000</v>
      </c>
    </row>
    <row r="72" spans="1:12" ht="15.6" x14ac:dyDescent="0.3">
      <c r="A72" s="4" t="s">
        <v>118</v>
      </c>
      <c r="B72" s="8">
        <v>44989</v>
      </c>
      <c r="C72" s="4" t="s">
        <v>12</v>
      </c>
      <c r="D72" s="4" t="s">
        <v>13</v>
      </c>
      <c r="E72" s="4" t="s">
        <v>14</v>
      </c>
      <c r="F72" s="4" t="s">
        <v>15</v>
      </c>
      <c r="G72" s="4">
        <v>3</v>
      </c>
      <c r="H72" s="5">
        <v>55000</v>
      </c>
      <c r="I72" s="5">
        <v>165000</v>
      </c>
      <c r="J72" s="4" t="s">
        <v>16</v>
      </c>
      <c r="K72" s="4"/>
      <c r="L72">
        <f t="shared" si="1"/>
        <v>165000</v>
      </c>
    </row>
    <row r="73" spans="1:12" ht="15.6" x14ac:dyDescent="0.3">
      <c r="A73" s="4" t="s">
        <v>119</v>
      </c>
      <c r="B73" s="8">
        <v>44990</v>
      </c>
      <c r="C73" s="4" t="s">
        <v>18</v>
      </c>
      <c r="D73" s="4" t="s">
        <v>19</v>
      </c>
      <c r="E73" s="4" t="s">
        <v>28</v>
      </c>
      <c r="F73" s="4" t="s">
        <v>29</v>
      </c>
      <c r="G73" s="4">
        <v>5</v>
      </c>
      <c r="H73" s="5">
        <v>129000</v>
      </c>
      <c r="I73" s="5">
        <v>645000</v>
      </c>
      <c r="J73" s="4" t="s">
        <v>44</v>
      </c>
      <c r="K73" s="4" t="s">
        <v>55</v>
      </c>
      <c r="L73">
        <f t="shared" si="1"/>
        <v>645000</v>
      </c>
    </row>
    <row r="74" spans="1:12" ht="15.6" x14ac:dyDescent="0.3">
      <c r="A74" s="4" t="s">
        <v>120</v>
      </c>
      <c r="B74" s="8">
        <v>44990</v>
      </c>
      <c r="C74" s="4" t="s">
        <v>12</v>
      </c>
      <c r="D74" s="4" t="s">
        <v>13</v>
      </c>
      <c r="E74" s="4" t="s">
        <v>20</v>
      </c>
      <c r="F74" s="4" t="s">
        <v>15</v>
      </c>
      <c r="G74" s="4">
        <v>1</v>
      </c>
      <c r="H74" s="5">
        <v>45000</v>
      </c>
      <c r="I74" s="5">
        <v>45000</v>
      </c>
      <c r="J74" s="4" t="s">
        <v>44</v>
      </c>
      <c r="K74" s="4"/>
      <c r="L74">
        <f t="shared" si="1"/>
        <v>45000</v>
      </c>
    </row>
    <row r="75" spans="1:12" ht="15.6" x14ac:dyDescent="0.3">
      <c r="A75" s="4" t="s">
        <v>121</v>
      </c>
      <c r="B75" s="8">
        <v>44991</v>
      </c>
      <c r="C75" s="4" t="s">
        <v>12</v>
      </c>
      <c r="D75" s="4" t="s">
        <v>13</v>
      </c>
      <c r="E75" s="4" t="s">
        <v>59</v>
      </c>
      <c r="F75" s="4" t="s">
        <v>42</v>
      </c>
      <c r="G75" s="4">
        <v>3</v>
      </c>
      <c r="H75" s="5">
        <v>18000</v>
      </c>
      <c r="I75" s="5">
        <v>54000</v>
      </c>
      <c r="J75" s="4" t="s">
        <v>44</v>
      </c>
      <c r="K75" s="4" t="s">
        <v>25</v>
      </c>
      <c r="L75">
        <f t="shared" si="1"/>
        <v>54000</v>
      </c>
    </row>
    <row r="76" spans="1:12" ht="15.6" x14ac:dyDescent="0.3">
      <c r="A76" s="4" t="s">
        <v>122</v>
      </c>
      <c r="B76" s="8">
        <v>44992</v>
      </c>
      <c r="C76" s="4" t="s">
        <v>68</v>
      </c>
      <c r="D76" s="4" t="s">
        <v>35</v>
      </c>
      <c r="E76" s="4" t="s">
        <v>63</v>
      </c>
      <c r="F76" s="4" t="s">
        <v>15</v>
      </c>
      <c r="G76" s="4">
        <v>1</v>
      </c>
      <c r="H76" s="5">
        <v>65000</v>
      </c>
      <c r="I76" s="5">
        <v>65000</v>
      </c>
      <c r="J76" s="4" t="s">
        <v>30</v>
      </c>
      <c r="K76" s="4" t="s">
        <v>47</v>
      </c>
      <c r="L76">
        <f t="shared" si="1"/>
        <v>65000</v>
      </c>
    </row>
    <row r="77" spans="1:12" ht="15.6" x14ac:dyDescent="0.3">
      <c r="A77" s="4" t="s">
        <v>123</v>
      </c>
      <c r="B77" s="8">
        <v>44993</v>
      </c>
      <c r="C77" s="4" t="s">
        <v>34</v>
      </c>
      <c r="D77" s="4" t="s">
        <v>35</v>
      </c>
      <c r="E77" s="4" t="s">
        <v>54</v>
      </c>
      <c r="F77" s="4" t="s">
        <v>50</v>
      </c>
      <c r="G77" s="4">
        <v>2</v>
      </c>
      <c r="H77" s="5">
        <v>189000</v>
      </c>
      <c r="I77" s="5">
        <v>378000</v>
      </c>
      <c r="J77" s="4" t="s">
        <v>44</v>
      </c>
      <c r="K77" s="4"/>
      <c r="L77">
        <f t="shared" si="1"/>
        <v>378000</v>
      </c>
    </row>
    <row r="78" spans="1:12" ht="15.6" x14ac:dyDescent="0.3">
      <c r="A78" s="4" t="s">
        <v>124</v>
      </c>
      <c r="B78" s="8">
        <v>44993</v>
      </c>
      <c r="C78" s="4" t="s">
        <v>24</v>
      </c>
      <c r="D78" s="4" t="s">
        <v>19</v>
      </c>
      <c r="E78" s="4" t="s">
        <v>41</v>
      </c>
      <c r="F78" s="4" t="s">
        <v>42</v>
      </c>
      <c r="G78" s="4">
        <v>4</v>
      </c>
      <c r="H78" s="5">
        <v>25000</v>
      </c>
      <c r="I78" s="5">
        <v>100000</v>
      </c>
      <c r="J78" s="4" t="s">
        <v>44</v>
      </c>
      <c r="K78" s="4"/>
      <c r="L78">
        <f t="shared" si="1"/>
        <v>100000</v>
      </c>
    </row>
    <row r="79" spans="1:12" ht="15.6" x14ac:dyDescent="0.3">
      <c r="A79" s="4" t="s">
        <v>125</v>
      </c>
      <c r="B79" s="8">
        <v>44994</v>
      </c>
      <c r="C79" s="4" t="s">
        <v>27</v>
      </c>
      <c r="D79" s="4" t="s">
        <v>13</v>
      </c>
      <c r="E79" s="4" t="s">
        <v>74</v>
      </c>
      <c r="F79" s="4" t="s">
        <v>42</v>
      </c>
      <c r="G79" s="4">
        <v>2</v>
      </c>
      <c r="H79" s="5">
        <v>18000</v>
      </c>
      <c r="I79" s="5">
        <v>36000</v>
      </c>
      <c r="J79" s="4" t="s">
        <v>30</v>
      </c>
      <c r="K79" s="4"/>
      <c r="L79">
        <f t="shared" si="1"/>
        <v>36000</v>
      </c>
    </row>
    <row r="80" spans="1:12" ht="15.6" x14ac:dyDescent="0.3">
      <c r="A80" s="4" t="s">
        <v>126</v>
      </c>
      <c r="B80" s="8">
        <v>44995</v>
      </c>
      <c r="C80" s="4" t="s">
        <v>18</v>
      </c>
      <c r="D80" s="4" t="s">
        <v>19</v>
      </c>
      <c r="E80" s="4" t="s">
        <v>41</v>
      </c>
      <c r="F80" s="4" t="s">
        <v>42</v>
      </c>
      <c r="G80" s="4">
        <v>3</v>
      </c>
      <c r="H80" s="5">
        <v>25000</v>
      </c>
      <c r="I80" s="5">
        <v>75000</v>
      </c>
      <c r="J80" s="4" t="s">
        <v>30</v>
      </c>
      <c r="K80" s="4"/>
      <c r="L80">
        <f t="shared" si="1"/>
        <v>75000</v>
      </c>
    </row>
    <row r="81" spans="1:12" ht="15.6" x14ac:dyDescent="0.3">
      <c r="A81" s="4" t="s">
        <v>127</v>
      </c>
      <c r="B81" s="8">
        <v>44996</v>
      </c>
      <c r="C81" s="4" t="s">
        <v>27</v>
      </c>
      <c r="D81" s="4" t="s">
        <v>13</v>
      </c>
      <c r="E81" s="4" t="s">
        <v>74</v>
      </c>
      <c r="F81" s="4" t="s">
        <v>42</v>
      </c>
      <c r="G81" s="4">
        <v>1</v>
      </c>
      <c r="H81" s="5">
        <v>18000</v>
      </c>
      <c r="I81" s="5">
        <v>18000</v>
      </c>
      <c r="J81" s="4" t="s">
        <v>30</v>
      </c>
      <c r="K81" s="4"/>
      <c r="L81">
        <f t="shared" si="1"/>
        <v>18000</v>
      </c>
    </row>
    <row r="82" spans="1:12" ht="15.6" x14ac:dyDescent="0.3">
      <c r="A82" s="4" t="s">
        <v>128</v>
      </c>
      <c r="B82" s="8">
        <v>44996</v>
      </c>
      <c r="C82" s="4" t="s">
        <v>27</v>
      </c>
      <c r="D82" s="4" t="s">
        <v>13</v>
      </c>
      <c r="E82" s="4" t="s">
        <v>54</v>
      </c>
      <c r="F82" s="4" t="s">
        <v>50</v>
      </c>
      <c r="G82" s="4">
        <v>4</v>
      </c>
      <c r="H82" s="5">
        <v>189000</v>
      </c>
      <c r="I82" s="5">
        <v>756000</v>
      </c>
      <c r="J82" s="4" t="s">
        <v>30</v>
      </c>
      <c r="K82" s="4"/>
      <c r="L82">
        <f t="shared" si="1"/>
        <v>756000</v>
      </c>
    </row>
    <row r="83" spans="1:12" ht="15.6" x14ac:dyDescent="0.3">
      <c r="A83" s="4" t="s">
        <v>129</v>
      </c>
      <c r="B83" s="8">
        <v>44997</v>
      </c>
      <c r="C83" s="4" t="s">
        <v>27</v>
      </c>
      <c r="D83" s="4" t="s">
        <v>13</v>
      </c>
      <c r="E83" s="4" t="s">
        <v>14</v>
      </c>
      <c r="F83" s="4" t="s">
        <v>15</v>
      </c>
      <c r="G83" s="4">
        <v>2</v>
      </c>
      <c r="H83" s="5">
        <v>55000</v>
      </c>
      <c r="I83" s="5">
        <v>110000</v>
      </c>
      <c r="J83" s="4" t="s">
        <v>30</v>
      </c>
      <c r="K83" s="4" t="s">
        <v>47</v>
      </c>
      <c r="L83">
        <f t="shared" si="1"/>
        <v>110000</v>
      </c>
    </row>
    <row r="84" spans="1:12" ht="15.6" x14ac:dyDescent="0.3">
      <c r="A84" s="4" t="s">
        <v>130</v>
      </c>
      <c r="B84" s="8">
        <v>44998</v>
      </c>
      <c r="C84" s="4" t="s">
        <v>12</v>
      </c>
      <c r="D84" s="4" t="s">
        <v>13</v>
      </c>
      <c r="E84" s="4" t="s">
        <v>74</v>
      </c>
      <c r="F84" s="4" t="s">
        <v>42</v>
      </c>
      <c r="G84" s="4">
        <v>3</v>
      </c>
      <c r="H84" s="5">
        <v>18000</v>
      </c>
      <c r="I84" s="5">
        <v>54000</v>
      </c>
      <c r="J84" s="4" t="s">
        <v>30</v>
      </c>
      <c r="K84" s="4" t="s">
        <v>25</v>
      </c>
      <c r="L84">
        <f t="shared" si="1"/>
        <v>54000</v>
      </c>
    </row>
    <row r="85" spans="1:12" ht="15.6" x14ac:dyDescent="0.3">
      <c r="A85" s="4" t="s">
        <v>131</v>
      </c>
      <c r="B85" s="8">
        <v>44999</v>
      </c>
      <c r="C85" s="4" t="s">
        <v>18</v>
      </c>
      <c r="D85" s="4" t="s">
        <v>19</v>
      </c>
      <c r="E85" s="4" t="s">
        <v>59</v>
      </c>
      <c r="F85" s="4" t="s">
        <v>42</v>
      </c>
      <c r="G85" s="4">
        <v>5</v>
      </c>
      <c r="H85" s="5">
        <v>18000</v>
      </c>
      <c r="I85" s="5">
        <v>90000</v>
      </c>
      <c r="J85" s="4" t="s">
        <v>30</v>
      </c>
      <c r="K85" s="4"/>
      <c r="L85">
        <f t="shared" si="1"/>
        <v>90000</v>
      </c>
    </row>
    <row r="86" spans="1:12" ht="15.6" x14ac:dyDescent="0.3">
      <c r="A86" s="4" t="s">
        <v>132</v>
      </c>
      <c r="B86" s="8">
        <v>45000</v>
      </c>
      <c r="C86" s="4" t="s">
        <v>34</v>
      </c>
      <c r="D86" s="4" t="s">
        <v>35</v>
      </c>
      <c r="E86" s="4" t="s">
        <v>63</v>
      </c>
      <c r="F86" s="4" t="s">
        <v>15</v>
      </c>
      <c r="G86" s="4">
        <v>5</v>
      </c>
      <c r="H86" s="5">
        <v>65000</v>
      </c>
      <c r="I86" s="5">
        <v>325000</v>
      </c>
      <c r="J86" s="4" t="s">
        <v>30</v>
      </c>
      <c r="K86" s="4"/>
      <c r="L86">
        <f t="shared" si="1"/>
        <v>325000</v>
      </c>
    </row>
    <row r="87" spans="1:12" ht="15.6" x14ac:dyDescent="0.3">
      <c r="A87" s="4" t="s">
        <v>133</v>
      </c>
      <c r="B87" s="8">
        <v>45000</v>
      </c>
      <c r="C87" s="4" t="s">
        <v>24</v>
      </c>
      <c r="D87" s="4" t="s">
        <v>19</v>
      </c>
      <c r="E87" s="4" t="s">
        <v>32</v>
      </c>
      <c r="F87" s="4" t="s">
        <v>29</v>
      </c>
      <c r="G87" s="4">
        <v>3</v>
      </c>
      <c r="H87" s="5">
        <v>59000</v>
      </c>
      <c r="I87" s="5">
        <v>177000</v>
      </c>
      <c r="J87" s="4" t="s">
        <v>44</v>
      </c>
      <c r="K87" s="4" t="s">
        <v>47</v>
      </c>
      <c r="L87">
        <f t="shared" si="1"/>
        <v>177000</v>
      </c>
    </row>
    <row r="88" spans="1:12" ht="15.6" x14ac:dyDescent="0.3">
      <c r="A88" s="4" t="s">
        <v>134</v>
      </c>
      <c r="B88" s="8">
        <v>45000</v>
      </c>
      <c r="C88" s="4" t="s">
        <v>24</v>
      </c>
      <c r="D88" s="4" t="s">
        <v>19</v>
      </c>
      <c r="E88" s="4" t="s">
        <v>70</v>
      </c>
      <c r="F88" s="4" t="s">
        <v>29</v>
      </c>
      <c r="G88" s="4">
        <v>1</v>
      </c>
      <c r="H88" s="5">
        <v>79000</v>
      </c>
      <c r="I88" s="5">
        <v>79000</v>
      </c>
      <c r="J88" s="4" t="s">
        <v>30</v>
      </c>
      <c r="K88" s="4" t="s">
        <v>21</v>
      </c>
      <c r="L88">
        <f t="shared" si="1"/>
        <v>79000</v>
      </c>
    </row>
    <row r="89" spans="1:12" ht="15.6" x14ac:dyDescent="0.3">
      <c r="A89" s="4" t="s">
        <v>135</v>
      </c>
      <c r="B89" s="8">
        <v>45001</v>
      </c>
      <c r="C89" s="4" t="s">
        <v>34</v>
      </c>
      <c r="D89" s="4" t="s">
        <v>35</v>
      </c>
      <c r="E89" s="4" t="s">
        <v>14</v>
      </c>
      <c r="F89" s="4" t="s">
        <v>15</v>
      </c>
      <c r="G89" s="4">
        <v>4</v>
      </c>
      <c r="H89" s="5">
        <v>55000</v>
      </c>
      <c r="I89" s="5">
        <v>220000</v>
      </c>
      <c r="J89" s="4" t="s">
        <v>16</v>
      </c>
      <c r="K89" s="4" t="s">
        <v>25</v>
      </c>
      <c r="L89">
        <f t="shared" si="1"/>
        <v>220000</v>
      </c>
    </row>
    <row r="90" spans="1:12" ht="15.6" x14ac:dyDescent="0.3">
      <c r="A90" s="4" t="s">
        <v>136</v>
      </c>
      <c r="B90" s="8">
        <v>45002</v>
      </c>
      <c r="C90" s="4" t="s">
        <v>18</v>
      </c>
      <c r="D90" s="4" t="s">
        <v>19</v>
      </c>
      <c r="E90" s="4" t="s">
        <v>57</v>
      </c>
      <c r="F90" s="4" t="s">
        <v>38</v>
      </c>
      <c r="G90" s="4">
        <v>2</v>
      </c>
      <c r="H90" s="5">
        <v>39000</v>
      </c>
      <c r="I90" s="5">
        <v>78000</v>
      </c>
      <c r="J90" s="4" t="s">
        <v>30</v>
      </c>
      <c r="K90" s="4" t="s">
        <v>55</v>
      </c>
      <c r="L90">
        <f t="shared" si="1"/>
        <v>78000</v>
      </c>
    </row>
    <row r="91" spans="1:12" ht="15.6" x14ac:dyDescent="0.3">
      <c r="A91" s="4" t="s">
        <v>137</v>
      </c>
      <c r="B91" s="8">
        <v>45003</v>
      </c>
      <c r="C91" s="4" t="s">
        <v>18</v>
      </c>
      <c r="D91" s="4" t="s">
        <v>19</v>
      </c>
      <c r="E91" s="4" t="s">
        <v>41</v>
      </c>
      <c r="F91" s="4" t="s">
        <v>42</v>
      </c>
      <c r="G91" s="4">
        <v>3</v>
      </c>
      <c r="H91" s="5">
        <v>25000</v>
      </c>
      <c r="I91" s="5">
        <v>75000</v>
      </c>
      <c r="J91" s="4" t="s">
        <v>44</v>
      </c>
      <c r="K91" s="4" t="s">
        <v>47</v>
      </c>
      <c r="L91">
        <f t="shared" si="1"/>
        <v>75000</v>
      </c>
    </row>
    <row r="92" spans="1:12" ht="15.6" x14ac:dyDescent="0.3">
      <c r="A92" s="4" t="s">
        <v>138</v>
      </c>
      <c r="B92" s="8">
        <v>45003</v>
      </c>
      <c r="C92" s="4" t="s">
        <v>12</v>
      </c>
      <c r="D92" s="4" t="s">
        <v>13</v>
      </c>
      <c r="E92" s="4" t="s">
        <v>57</v>
      </c>
      <c r="F92" s="4" t="s">
        <v>38</v>
      </c>
      <c r="G92" s="4">
        <v>3</v>
      </c>
      <c r="H92" s="5">
        <v>39000</v>
      </c>
      <c r="I92" s="5">
        <v>117000</v>
      </c>
      <c r="J92" s="4" t="s">
        <v>44</v>
      </c>
      <c r="K92" s="4"/>
      <c r="L92">
        <f t="shared" si="1"/>
        <v>117000</v>
      </c>
    </row>
    <row r="93" spans="1:12" ht="15.6" x14ac:dyDescent="0.3">
      <c r="A93" s="4" t="s">
        <v>139</v>
      </c>
      <c r="B93" s="8">
        <v>45004</v>
      </c>
      <c r="C93" s="4" t="s">
        <v>68</v>
      </c>
      <c r="D93" s="4" t="s">
        <v>35</v>
      </c>
      <c r="E93" s="4" t="s">
        <v>49</v>
      </c>
      <c r="F93" s="4" t="s">
        <v>50</v>
      </c>
      <c r="G93" s="4">
        <v>4</v>
      </c>
      <c r="H93" s="5">
        <v>129000</v>
      </c>
      <c r="I93" s="5">
        <v>516000</v>
      </c>
      <c r="J93" s="4" t="s">
        <v>44</v>
      </c>
      <c r="K93" s="4"/>
      <c r="L93">
        <f t="shared" si="1"/>
        <v>516000</v>
      </c>
    </row>
    <row r="94" spans="1:12" ht="15.6" x14ac:dyDescent="0.3">
      <c r="A94" s="4" t="s">
        <v>140</v>
      </c>
      <c r="B94" s="8">
        <v>45005</v>
      </c>
      <c r="C94" s="4" t="s">
        <v>27</v>
      </c>
      <c r="D94" s="4" t="s">
        <v>13</v>
      </c>
      <c r="E94" s="4" t="s">
        <v>54</v>
      </c>
      <c r="F94" s="4" t="s">
        <v>50</v>
      </c>
      <c r="G94" s="4">
        <v>4</v>
      </c>
      <c r="H94" s="5">
        <v>189000</v>
      </c>
      <c r="I94" s="5">
        <v>756000</v>
      </c>
      <c r="J94" s="4" t="s">
        <v>44</v>
      </c>
      <c r="K94" s="4" t="s">
        <v>55</v>
      </c>
      <c r="L94">
        <f t="shared" si="1"/>
        <v>756000</v>
      </c>
    </row>
    <row r="95" spans="1:12" ht="15.6" x14ac:dyDescent="0.3">
      <c r="A95" s="4" t="s">
        <v>141</v>
      </c>
      <c r="B95" s="8">
        <v>45006</v>
      </c>
      <c r="C95" s="4" t="s">
        <v>18</v>
      </c>
      <c r="D95" s="4" t="s">
        <v>19</v>
      </c>
      <c r="E95" s="4" t="s">
        <v>41</v>
      </c>
      <c r="F95" s="4" t="s">
        <v>42</v>
      </c>
      <c r="G95" s="4">
        <v>2</v>
      </c>
      <c r="H95" s="5">
        <v>25000</v>
      </c>
      <c r="I95" s="5">
        <v>50000</v>
      </c>
      <c r="J95" s="4" t="s">
        <v>44</v>
      </c>
      <c r="K95" s="4" t="s">
        <v>21</v>
      </c>
      <c r="L95">
        <f t="shared" si="1"/>
        <v>50000</v>
      </c>
    </row>
    <row r="96" spans="1:12" ht="15.6" x14ac:dyDescent="0.3">
      <c r="A96" s="4" t="s">
        <v>142</v>
      </c>
      <c r="B96" s="8">
        <v>45007</v>
      </c>
      <c r="C96" s="4" t="s">
        <v>68</v>
      </c>
      <c r="D96" s="4" t="s">
        <v>35</v>
      </c>
      <c r="E96" s="4" t="s">
        <v>70</v>
      </c>
      <c r="F96" s="4" t="s">
        <v>29</v>
      </c>
      <c r="G96" s="4">
        <v>1</v>
      </c>
      <c r="H96" s="5">
        <v>79000</v>
      </c>
      <c r="I96" s="5">
        <v>79000</v>
      </c>
      <c r="J96" s="4" t="s">
        <v>30</v>
      </c>
      <c r="K96" s="4"/>
      <c r="L96">
        <f t="shared" si="1"/>
        <v>79000</v>
      </c>
    </row>
    <row r="97" spans="1:12" ht="15.6" x14ac:dyDescent="0.3">
      <c r="A97" s="4" t="s">
        <v>143</v>
      </c>
      <c r="B97" s="8">
        <v>45008</v>
      </c>
      <c r="C97" s="4" t="s">
        <v>68</v>
      </c>
      <c r="D97" s="4" t="s">
        <v>35</v>
      </c>
      <c r="E97" s="4" t="s">
        <v>74</v>
      </c>
      <c r="F97" s="4" t="s">
        <v>42</v>
      </c>
      <c r="G97" s="4">
        <v>5</v>
      </c>
      <c r="H97" s="5">
        <v>18000</v>
      </c>
      <c r="I97" s="5">
        <v>90000</v>
      </c>
      <c r="J97" s="4" t="s">
        <v>44</v>
      </c>
      <c r="K97" s="4" t="s">
        <v>47</v>
      </c>
      <c r="L97">
        <f t="shared" si="1"/>
        <v>90000</v>
      </c>
    </row>
    <row r="98" spans="1:12" ht="15.6" x14ac:dyDescent="0.3">
      <c r="A98" s="4" t="s">
        <v>144</v>
      </c>
      <c r="B98" s="8">
        <v>45008</v>
      </c>
      <c r="C98" s="4" t="s">
        <v>68</v>
      </c>
      <c r="D98" s="4" t="s">
        <v>35</v>
      </c>
      <c r="E98" s="4" t="s">
        <v>28</v>
      </c>
      <c r="F98" s="4" t="s">
        <v>29</v>
      </c>
      <c r="G98" s="4">
        <v>2</v>
      </c>
      <c r="H98" s="5">
        <v>129000</v>
      </c>
      <c r="I98" s="5">
        <v>258000</v>
      </c>
      <c r="J98" s="4" t="s">
        <v>44</v>
      </c>
      <c r="K98" s="4" t="s">
        <v>39</v>
      </c>
      <c r="L98">
        <f t="shared" si="1"/>
        <v>258000</v>
      </c>
    </row>
    <row r="99" spans="1:12" ht="15.6" x14ac:dyDescent="0.3">
      <c r="A99" s="4" t="s">
        <v>145</v>
      </c>
      <c r="B99" s="8">
        <v>45009</v>
      </c>
      <c r="C99" s="4" t="s">
        <v>18</v>
      </c>
      <c r="D99" s="4" t="s">
        <v>19</v>
      </c>
      <c r="E99" s="4" t="s">
        <v>20</v>
      </c>
      <c r="F99" s="4" t="s">
        <v>15</v>
      </c>
      <c r="G99" s="4">
        <v>3</v>
      </c>
      <c r="H99" s="5">
        <v>45000</v>
      </c>
      <c r="I99" s="5">
        <v>135000</v>
      </c>
      <c r="J99" s="4" t="s">
        <v>44</v>
      </c>
      <c r="K99" s="4" t="s">
        <v>21</v>
      </c>
      <c r="L99">
        <f t="shared" si="1"/>
        <v>135000</v>
      </c>
    </row>
    <row r="100" spans="1:12" ht="15.6" x14ac:dyDescent="0.3">
      <c r="A100" s="4" t="s">
        <v>146</v>
      </c>
      <c r="B100" s="8">
        <v>45375</v>
      </c>
      <c r="C100" s="4" t="s">
        <v>12</v>
      </c>
      <c r="D100" s="4" t="s">
        <v>13</v>
      </c>
      <c r="E100" s="4" t="s">
        <v>59</v>
      </c>
      <c r="F100" s="4" t="s">
        <v>42</v>
      </c>
      <c r="G100" s="4">
        <v>2</v>
      </c>
      <c r="H100" s="5">
        <v>18000</v>
      </c>
      <c r="I100" s="5">
        <v>36000</v>
      </c>
      <c r="J100" s="4" t="s">
        <v>44</v>
      </c>
      <c r="K100" s="4"/>
      <c r="L100">
        <f t="shared" si="1"/>
        <v>36000</v>
      </c>
    </row>
    <row r="101" spans="1:12" ht="15.6" x14ac:dyDescent="0.3">
      <c r="A101" s="4" t="s">
        <v>147</v>
      </c>
      <c r="B101" s="8">
        <v>45740</v>
      </c>
      <c r="C101" s="4" t="s">
        <v>27</v>
      </c>
      <c r="D101" s="4" t="s">
        <v>13</v>
      </c>
      <c r="E101" s="4" t="s">
        <v>63</v>
      </c>
      <c r="F101" s="4" t="s">
        <v>15</v>
      </c>
      <c r="G101" s="4">
        <v>1</v>
      </c>
      <c r="H101" s="5">
        <v>65000</v>
      </c>
      <c r="I101" s="5">
        <v>65000</v>
      </c>
      <c r="J101" s="4" t="s">
        <v>16</v>
      </c>
      <c r="K101" s="4"/>
      <c r="L101">
        <f t="shared" si="1"/>
        <v>65000</v>
      </c>
    </row>
    <row r="102" spans="1:12" ht="15.6" x14ac:dyDescent="0.3">
      <c r="A102" s="4" t="s">
        <v>148</v>
      </c>
      <c r="B102" s="8">
        <v>46105</v>
      </c>
      <c r="C102" s="4" t="s">
        <v>24</v>
      </c>
      <c r="D102" s="4" t="s">
        <v>19</v>
      </c>
      <c r="E102" s="4" t="s">
        <v>59</v>
      </c>
      <c r="F102" s="4" t="s">
        <v>42</v>
      </c>
      <c r="G102" s="4">
        <v>1</v>
      </c>
      <c r="H102" s="5">
        <v>18000</v>
      </c>
      <c r="I102" s="5">
        <v>18000</v>
      </c>
      <c r="J102" s="4" t="s">
        <v>30</v>
      </c>
      <c r="K102" s="4" t="s">
        <v>55</v>
      </c>
      <c r="L102">
        <f t="shared" si="1"/>
        <v>18000</v>
      </c>
    </row>
    <row r="103" spans="1:12" ht="15.6" x14ac:dyDescent="0.3">
      <c r="A103" s="4" t="s">
        <v>149</v>
      </c>
      <c r="B103" s="8">
        <v>46470</v>
      </c>
      <c r="C103" s="4" t="s">
        <v>24</v>
      </c>
      <c r="D103" s="4" t="s">
        <v>19</v>
      </c>
      <c r="E103" s="4" t="s">
        <v>54</v>
      </c>
      <c r="F103" s="4" t="s">
        <v>50</v>
      </c>
      <c r="G103" s="4">
        <v>4</v>
      </c>
      <c r="H103" s="5">
        <v>189000</v>
      </c>
      <c r="I103" s="5">
        <v>756000</v>
      </c>
      <c r="J103" s="4" t="s">
        <v>30</v>
      </c>
      <c r="K103" s="4" t="s">
        <v>55</v>
      </c>
      <c r="L103">
        <f t="shared" si="1"/>
        <v>756000</v>
      </c>
    </row>
    <row r="104" spans="1:12" ht="15.6" x14ac:dyDescent="0.3">
      <c r="A104" s="4" t="s">
        <v>150</v>
      </c>
      <c r="B104" s="8">
        <v>45136</v>
      </c>
      <c r="C104" s="4" t="s">
        <v>27</v>
      </c>
      <c r="D104" s="4" t="s">
        <v>13</v>
      </c>
      <c r="E104" s="4" t="s">
        <v>52</v>
      </c>
      <c r="F104" s="4" t="s">
        <v>38</v>
      </c>
      <c r="G104" s="4">
        <v>1</v>
      </c>
      <c r="H104" s="5">
        <v>35000</v>
      </c>
      <c r="I104" s="5">
        <v>35000</v>
      </c>
      <c r="J104" s="4" t="s">
        <v>16</v>
      </c>
      <c r="K104" s="4" t="s">
        <v>55</v>
      </c>
      <c r="L104">
        <f t="shared" si="1"/>
        <v>35000</v>
      </c>
    </row>
    <row r="105" spans="1:12" ht="15.6" x14ac:dyDescent="0.3">
      <c r="A105" s="4" t="s">
        <v>151</v>
      </c>
      <c r="B105" s="8">
        <v>45137</v>
      </c>
      <c r="C105" s="4" t="s">
        <v>27</v>
      </c>
      <c r="D105" s="4" t="s">
        <v>13</v>
      </c>
      <c r="E105" s="4" t="s">
        <v>74</v>
      </c>
      <c r="F105" s="4" t="s">
        <v>42</v>
      </c>
      <c r="G105" s="4">
        <v>5</v>
      </c>
      <c r="H105" s="5">
        <v>18000</v>
      </c>
      <c r="I105" s="5">
        <v>90000</v>
      </c>
      <c r="J105" s="4" t="s">
        <v>30</v>
      </c>
      <c r="K105" s="4"/>
      <c r="L105">
        <f t="shared" si="1"/>
        <v>90000</v>
      </c>
    </row>
    <row r="106" spans="1:12" ht="15.6" x14ac:dyDescent="0.3">
      <c r="A106" s="4" t="s">
        <v>152</v>
      </c>
      <c r="B106" s="8">
        <v>45138</v>
      </c>
      <c r="C106" s="4" t="s">
        <v>27</v>
      </c>
      <c r="D106" s="4" t="s">
        <v>13</v>
      </c>
      <c r="E106" s="4" t="s">
        <v>41</v>
      </c>
      <c r="F106" s="4" t="s">
        <v>42</v>
      </c>
      <c r="G106" s="4">
        <v>1</v>
      </c>
      <c r="H106" s="5">
        <v>25000</v>
      </c>
      <c r="I106" s="5">
        <v>25000</v>
      </c>
      <c r="J106" s="4" t="s">
        <v>30</v>
      </c>
      <c r="K106" s="4"/>
      <c r="L106">
        <f t="shared" si="1"/>
        <v>25000</v>
      </c>
    </row>
    <row r="107" spans="1:12" ht="15.6" x14ac:dyDescent="0.3">
      <c r="A107" s="4" t="s">
        <v>153</v>
      </c>
      <c r="B107" s="8">
        <v>44934</v>
      </c>
      <c r="C107" s="4" t="s">
        <v>18</v>
      </c>
      <c r="D107" s="4" t="s">
        <v>19</v>
      </c>
      <c r="E107" s="4" t="s">
        <v>70</v>
      </c>
      <c r="F107" s="4" t="s">
        <v>29</v>
      </c>
      <c r="G107" s="4">
        <v>5</v>
      </c>
      <c r="H107" s="5">
        <v>79000</v>
      </c>
      <c r="I107" s="5">
        <v>395000</v>
      </c>
      <c r="J107" s="4" t="s">
        <v>44</v>
      </c>
      <c r="K107" s="4" t="s">
        <v>47</v>
      </c>
      <c r="L107">
        <f t="shared" si="1"/>
        <v>395000</v>
      </c>
    </row>
    <row r="108" spans="1:12" ht="15.6" x14ac:dyDescent="0.3">
      <c r="A108" s="4" t="s">
        <v>154</v>
      </c>
      <c r="B108" s="8">
        <v>44965</v>
      </c>
      <c r="C108" s="4" t="s">
        <v>24</v>
      </c>
      <c r="D108" s="4" t="s">
        <v>19</v>
      </c>
      <c r="E108" s="4" t="s">
        <v>59</v>
      </c>
      <c r="F108" s="4" t="s">
        <v>42</v>
      </c>
      <c r="G108" s="4">
        <v>5</v>
      </c>
      <c r="H108" s="5">
        <v>18000</v>
      </c>
      <c r="I108" s="5">
        <v>90000</v>
      </c>
      <c r="J108" s="4" t="s">
        <v>30</v>
      </c>
      <c r="K108" s="4" t="s">
        <v>25</v>
      </c>
      <c r="L108">
        <f t="shared" si="1"/>
        <v>90000</v>
      </c>
    </row>
    <row r="109" spans="1:12" ht="15.6" x14ac:dyDescent="0.3">
      <c r="A109" s="4" t="s">
        <v>155</v>
      </c>
      <c r="B109" s="8">
        <v>44993</v>
      </c>
      <c r="C109" s="4" t="s">
        <v>27</v>
      </c>
      <c r="D109" s="4" t="s">
        <v>13</v>
      </c>
      <c r="E109" s="4" t="s">
        <v>57</v>
      </c>
      <c r="F109" s="4" t="s">
        <v>38</v>
      </c>
      <c r="G109" s="4">
        <v>4</v>
      </c>
      <c r="H109" s="5">
        <v>39000</v>
      </c>
      <c r="I109" s="5">
        <v>156000</v>
      </c>
      <c r="J109" s="4" t="s">
        <v>30</v>
      </c>
      <c r="K109" s="4"/>
      <c r="L109">
        <f t="shared" si="1"/>
        <v>156000</v>
      </c>
    </row>
    <row r="110" spans="1:12" ht="15.6" x14ac:dyDescent="0.3">
      <c r="A110" s="4" t="s">
        <v>156</v>
      </c>
      <c r="B110" s="8">
        <v>45024</v>
      </c>
      <c r="C110" s="4" t="s">
        <v>18</v>
      </c>
      <c r="D110" s="4" t="s">
        <v>19</v>
      </c>
      <c r="E110" s="4" t="s">
        <v>99</v>
      </c>
      <c r="F110" s="4" t="s">
        <v>50</v>
      </c>
      <c r="G110" s="4">
        <v>5</v>
      </c>
      <c r="H110" s="5">
        <v>159000</v>
      </c>
      <c r="I110" s="5">
        <v>795000</v>
      </c>
      <c r="J110" s="4" t="s">
        <v>30</v>
      </c>
      <c r="K110" s="4"/>
      <c r="L110">
        <f t="shared" si="1"/>
        <v>795000</v>
      </c>
    </row>
    <row r="111" spans="1:12" ht="15.6" x14ac:dyDescent="0.3">
      <c r="A111" s="4" t="s">
        <v>157</v>
      </c>
      <c r="B111" s="8">
        <v>45025</v>
      </c>
      <c r="C111" s="4" t="s">
        <v>68</v>
      </c>
      <c r="D111" s="4" t="s">
        <v>35</v>
      </c>
      <c r="E111" s="4" t="s">
        <v>20</v>
      </c>
      <c r="F111" s="4" t="s">
        <v>15</v>
      </c>
      <c r="G111" s="4">
        <v>3</v>
      </c>
      <c r="H111" s="5">
        <v>45000</v>
      </c>
      <c r="I111" s="5">
        <v>135000</v>
      </c>
      <c r="J111" s="4" t="s">
        <v>16</v>
      </c>
      <c r="K111" s="4"/>
      <c r="L111">
        <f t="shared" si="1"/>
        <v>135000</v>
      </c>
    </row>
    <row r="112" spans="1:12" ht="15.6" x14ac:dyDescent="0.3">
      <c r="A112" s="4" t="s">
        <v>158</v>
      </c>
      <c r="B112" s="8">
        <v>45026</v>
      </c>
      <c r="C112" s="4" t="s">
        <v>34</v>
      </c>
      <c r="D112" s="4" t="s">
        <v>35</v>
      </c>
      <c r="E112" s="4" t="s">
        <v>41</v>
      </c>
      <c r="F112" s="4" t="s">
        <v>42</v>
      </c>
      <c r="G112" s="4">
        <v>5</v>
      </c>
      <c r="H112" s="5">
        <v>25000</v>
      </c>
      <c r="I112" s="5">
        <v>125000</v>
      </c>
      <c r="J112" s="4" t="s">
        <v>16</v>
      </c>
      <c r="K112" s="4"/>
      <c r="L112">
        <f t="shared" si="1"/>
        <v>125000</v>
      </c>
    </row>
    <row r="113" spans="1:12" ht="15.6" x14ac:dyDescent="0.3">
      <c r="A113" s="4" t="s">
        <v>159</v>
      </c>
      <c r="B113" s="8">
        <v>45027</v>
      </c>
      <c r="C113" s="4" t="s">
        <v>27</v>
      </c>
      <c r="D113" s="4" t="s">
        <v>13</v>
      </c>
      <c r="E113" s="4" t="s">
        <v>32</v>
      </c>
      <c r="F113" s="4" t="s">
        <v>29</v>
      </c>
      <c r="G113" s="4">
        <v>2</v>
      </c>
      <c r="H113" s="5">
        <v>59000</v>
      </c>
      <c r="I113" s="5">
        <v>118000</v>
      </c>
      <c r="J113" s="4" t="s">
        <v>44</v>
      </c>
      <c r="K113" s="4"/>
      <c r="L113">
        <f t="shared" si="1"/>
        <v>118000</v>
      </c>
    </row>
    <row r="114" spans="1:12" ht="15.6" x14ac:dyDescent="0.3">
      <c r="A114" s="4" t="s">
        <v>160</v>
      </c>
      <c r="B114" s="8">
        <v>45027</v>
      </c>
      <c r="C114" s="4" t="s">
        <v>68</v>
      </c>
      <c r="D114" s="4" t="s">
        <v>35</v>
      </c>
      <c r="E114" s="4" t="s">
        <v>32</v>
      </c>
      <c r="F114" s="4" t="s">
        <v>29</v>
      </c>
      <c r="G114" s="4">
        <v>3</v>
      </c>
      <c r="H114" s="5">
        <v>59000</v>
      </c>
      <c r="I114" s="5">
        <v>177000</v>
      </c>
      <c r="J114" s="4" t="s">
        <v>44</v>
      </c>
      <c r="K114" s="4" t="s">
        <v>39</v>
      </c>
      <c r="L114">
        <f t="shared" si="1"/>
        <v>177000</v>
      </c>
    </row>
    <row r="115" spans="1:12" ht="15.6" x14ac:dyDescent="0.3">
      <c r="A115" s="4" t="s">
        <v>161</v>
      </c>
      <c r="B115" s="8">
        <v>45028</v>
      </c>
      <c r="C115" s="4" t="s">
        <v>12</v>
      </c>
      <c r="D115" s="4" t="s">
        <v>13</v>
      </c>
      <c r="E115" s="4" t="s">
        <v>54</v>
      </c>
      <c r="F115" s="4" t="s">
        <v>50</v>
      </c>
      <c r="G115" s="4">
        <v>4</v>
      </c>
      <c r="H115" s="5">
        <v>189000</v>
      </c>
      <c r="I115" s="5">
        <v>756000</v>
      </c>
      <c r="J115" s="4" t="s">
        <v>30</v>
      </c>
      <c r="K115" s="4" t="s">
        <v>21</v>
      </c>
      <c r="L115">
        <f t="shared" si="1"/>
        <v>756000</v>
      </c>
    </row>
    <row r="116" spans="1:12" ht="15.6" x14ac:dyDescent="0.3">
      <c r="A116" s="4" t="s">
        <v>162</v>
      </c>
      <c r="B116" s="8">
        <v>45029</v>
      </c>
      <c r="C116" s="4" t="s">
        <v>12</v>
      </c>
      <c r="D116" s="4" t="s">
        <v>13</v>
      </c>
      <c r="E116" s="4" t="s">
        <v>59</v>
      </c>
      <c r="F116" s="4" t="s">
        <v>42</v>
      </c>
      <c r="G116" s="4">
        <v>5</v>
      </c>
      <c r="H116" s="5">
        <v>18000</v>
      </c>
      <c r="I116" s="5">
        <v>90000</v>
      </c>
      <c r="J116" s="4" t="s">
        <v>30</v>
      </c>
      <c r="K116" s="4" t="s">
        <v>39</v>
      </c>
      <c r="L116">
        <f t="shared" si="1"/>
        <v>90000</v>
      </c>
    </row>
    <row r="117" spans="1:12" ht="15.6" x14ac:dyDescent="0.3">
      <c r="A117" s="4" t="s">
        <v>163</v>
      </c>
      <c r="B117" s="8">
        <v>45030</v>
      </c>
      <c r="C117" s="4" t="s">
        <v>34</v>
      </c>
      <c r="D117" s="4" t="s">
        <v>35</v>
      </c>
      <c r="E117" s="4" t="s">
        <v>99</v>
      </c>
      <c r="F117" s="4" t="s">
        <v>50</v>
      </c>
      <c r="G117" s="4">
        <v>4</v>
      </c>
      <c r="H117" s="5">
        <v>159000</v>
      </c>
      <c r="I117" s="5">
        <v>636000</v>
      </c>
      <c r="J117" s="4" t="s">
        <v>30</v>
      </c>
      <c r="K117" s="4" t="s">
        <v>25</v>
      </c>
      <c r="L117">
        <f t="shared" si="1"/>
        <v>636000</v>
      </c>
    </row>
    <row r="118" spans="1:12" ht="15.6" x14ac:dyDescent="0.3">
      <c r="A118" s="4" t="s">
        <v>164</v>
      </c>
      <c r="B118" s="8">
        <v>45031</v>
      </c>
      <c r="C118" s="4" t="s">
        <v>24</v>
      </c>
      <c r="D118" s="4" t="s">
        <v>19</v>
      </c>
      <c r="E118" s="4" t="s">
        <v>41</v>
      </c>
      <c r="F118" s="4" t="s">
        <v>42</v>
      </c>
      <c r="G118" s="4">
        <v>2</v>
      </c>
      <c r="H118" s="5">
        <v>25000</v>
      </c>
      <c r="I118" s="5">
        <v>50000</v>
      </c>
      <c r="J118" s="4" t="s">
        <v>30</v>
      </c>
      <c r="K118" s="4"/>
      <c r="L118">
        <f t="shared" si="1"/>
        <v>50000</v>
      </c>
    </row>
    <row r="119" spans="1:12" ht="15.6" x14ac:dyDescent="0.3">
      <c r="A119" s="4" t="s">
        <v>165</v>
      </c>
      <c r="B119" s="8">
        <v>45031</v>
      </c>
      <c r="C119" s="4" t="s">
        <v>68</v>
      </c>
      <c r="D119" s="4" t="s">
        <v>35</v>
      </c>
      <c r="E119" s="4" t="s">
        <v>28</v>
      </c>
      <c r="F119" s="4" t="s">
        <v>29</v>
      </c>
      <c r="G119" s="4">
        <v>1</v>
      </c>
      <c r="H119" s="5">
        <v>129000</v>
      </c>
      <c r="I119" s="5">
        <v>129000</v>
      </c>
      <c r="J119" s="4" t="s">
        <v>30</v>
      </c>
      <c r="K119" s="4" t="s">
        <v>47</v>
      </c>
      <c r="L119">
        <f t="shared" si="1"/>
        <v>129000</v>
      </c>
    </row>
    <row r="120" spans="1:12" ht="15.6" x14ac:dyDescent="0.3">
      <c r="A120" s="4" t="s">
        <v>166</v>
      </c>
      <c r="B120" s="8">
        <v>45032</v>
      </c>
      <c r="C120" s="4" t="s">
        <v>18</v>
      </c>
      <c r="D120" s="4" t="s">
        <v>19</v>
      </c>
      <c r="E120" s="4" t="s">
        <v>74</v>
      </c>
      <c r="F120" s="4" t="s">
        <v>42</v>
      </c>
      <c r="G120" s="4">
        <v>4</v>
      </c>
      <c r="H120" s="5">
        <v>18000</v>
      </c>
      <c r="I120" s="5">
        <v>72000</v>
      </c>
      <c r="J120" s="4" t="s">
        <v>44</v>
      </c>
      <c r="K120" s="4"/>
      <c r="L120">
        <f t="shared" si="1"/>
        <v>72000</v>
      </c>
    </row>
    <row r="121" spans="1:12" ht="15.6" x14ac:dyDescent="0.3">
      <c r="A121" s="4" t="s">
        <v>167</v>
      </c>
      <c r="B121" s="8">
        <v>45033</v>
      </c>
      <c r="C121" s="4" t="s">
        <v>27</v>
      </c>
      <c r="D121" s="4" t="s">
        <v>13</v>
      </c>
      <c r="E121" s="4" t="s">
        <v>37</v>
      </c>
      <c r="F121" s="4" t="s">
        <v>38</v>
      </c>
      <c r="G121" s="4">
        <v>5</v>
      </c>
      <c r="H121" s="5">
        <v>25000</v>
      </c>
      <c r="I121" s="5">
        <v>125000</v>
      </c>
      <c r="J121" s="4" t="s">
        <v>16</v>
      </c>
      <c r="K121" s="4" t="s">
        <v>55</v>
      </c>
      <c r="L121">
        <f t="shared" si="1"/>
        <v>125000</v>
      </c>
    </row>
    <row r="122" spans="1:12" ht="15.6" x14ac:dyDescent="0.3">
      <c r="A122" s="4" t="s">
        <v>168</v>
      </c>
      <c r="B122" s="8">
        <v>45034</v>
      </c>
      <c r="C122" s="4" t="s">
        <v>24</v>
      </c>
      <c r="D122" s="4" t="s">
        <v>19</v>
      </c>
      <c r="E122" s="4" t="s">
        <v>52</v>
      </c>
      <c r="F122" s="4" t="s">
        <v>38</v>
      </c>
      <c r="G122" s="4">
        <v>1</v>
      </c>
      <c r="H122" s="5">
        <v>35000</v>
      </c>
      <c r="I122" s="5">
        <v>35000</v>
      </c>
      <c r="J122" s="4" t="s">
        <v>16</v>
      </c>
      <c r="K122" s="4" t="s">
        <v>55</v>
      </c>
      <c r="L122">
        <f t="shared" si="1"/>
        <v>35000</v>
      </c>
    </row>
    <row r="123" spans="1:12" ht="15.6" x14ac:dyDescent="0.3">
      <c r="A123" s="4" t="s">
        <v>169</v>
      </c>
      <c r="B123" s="8">
        <v>45034</v>
      </c>
      <c r="C123" s="4" t="s">
        <v>68</v>
      </c>
      <c r="D123" s="4" t="s">
        <v>35</v>
      </c>
      <c r="E123" s="4" t="s">
        <v>63</v>
      </c>
      <c r="F123" s="4" t="s">
        <v>15</v>
      </c>
      <c r="G123" s="4">
        <v>1</v>
      </c>
      <c r="H123" s="5">
        <v>65000</v>
      </c>
      <c r="I123" s="5">
        <v>65000</v>
      </c>
      <c r="J123" s="4" t="s">
        <v>30</v>
      </c>
      <c r="K123" s="4" t="s">
        <v>55</v>
      </c>
      <c r="L123">
        <f t="shared" si="1"/>
        <v>65000</v>
      </c>
    </row>
    <row r="124" spans="1:12" ht="15.6" x14ac:dyDescent="0.3">
      <c r="A124" s="4" t="s">
        <v>170</v>
      </c>
      <c r="B124" s="8">
        <v>45035</v>
      </c>
      <c r="C124" s="4" t="s">
        <v>27</v>
      </c>
      <c r="D124" s="4" t="s">
        <v>13</v>
      </c>
      <c r="E124" s="4" t="s">
        <v>28</v>
      </c>
      <c r="F124" s="4" t="s">
        <v>29</v>
      </c>
      <c r="G124" s="4">
        <v>3</v>
      </c>
      <c r="H124" s="5">
        <v>129000</v>
      </c>
      <c r="I124" s="5">
        <v>387000</v>
      </c>
      <c r="J124" s="4" t="s">
        <v>30</v>
      </c>
      <c r="K124" s="4" t="s">
        <v>55</v>
      </c>
      <c r="L124">
        <f t="shared" si="1"/>
        <v>387000</v>
      </c>
    </row>
    <row r="125" spans="1:12" ht="15.6" x14ac:dyDescent="0.3">
      <c r="A125" s="4" t="s">
        <v>171</v>
      </c>
      <c r="B125" s="8">
        <v>45036</v>
      </c>
      <c r="C125" s="4" t="s">
        <v>68</v>
      </c>
      <c r="D125" s="4" t="s">
        <v>35</v>
      </c>
      <c r="E125" s="4" t="s">
        <v>99</v>
      </c>
      <c r="F125" s="4" t="s">
        <v>50</v>
      </c>
      <c r="G125" s="4">
        <v>1</v>
      </c>
      <c r="H125" s="5">
        <v>159000</v>
      </c>
      <c r="I125" s="5">
        <v>159000</v>
      </c>
      <c r="J125" s="4" t="s">
        <v>30</v>
      </c>
      <c r="K125" s="4"/>
      <c r="L125">
        <f t="shared" si="1"/>
        <v>159000</v>
      </c>
    </row>
    <row r="126" spans="1:12" ht="15.6" x14ac:dyDescent="0.3">
      <c r="A126" s="4" t="s">
        <v>172</v>
      </c>
      <c r="B126" s="8">
        <v>45037</v>
      </c>
      <c r="C126" s="4" t="s">
        <v>12</v>
      </c>
      <c r="D126" s="4" t="s">
        <v>13</v>
      </c>
      <c r="E126" s="4" t="s">
        <v>49</v>
      </c>
      <c r="F126" s="4" t="s">
        <v>50</v>
      </c>
      <c r="G126" s="4">
        <v>2</v>
      </c>
      <c r="H126" s="5">
        <v>129000</v>
      </c>
      <c r="I126" s="5">
        <v>258000</v>
      </c>
      <c r="J126" s="4" t="s">
        <v>44</v>
      </c>
      <c r="K126" s="4"/>
      <c r="L126">
        <f t="shared" si="1"/>
        <v>258000</v>
      </c>
    </row>
    <row r="127" spans="1:12" ht="15.6" x14ac:dyDescent="0.3">
      <c r="A127" s="4" t="s">
        <v>173</v>
      </c>
      <c r="B127" s="8">
        <v>45038</v>
      </c>
      <c r="C127" s="4" t="s">
        <v>12</v>
      </c>
      <c r="D127" s="4" t="s">
        <v>13</v>
      </c>
      <c r="E127" s="4" t="s">
        <v>74</v>
      </c>
      <c r="F127" s="4" t="s">
        <v>42</v>
      </c>
      <c r="G127" s="4">
        <v>1</v>
      </c>
      <c r="H127" s="5">
        <v>18000</v>
      </c>
      <c r="I127" s="5">
        <v>18000</v>
      </c>
      <c r="J127" s="4" t="s">
        <v>16</v>
      </c>
      <c r="K127" s="4"/>
      <c r="L127">
        <f t="shared" si="1"/>
        <v>18000</v>
      </c>
    </row>
    <row r="128" spans="1:12" ht="15.6" x14ac:dyDescent="0.3">
      <c r="A128" s="4" t="s">
        <v>174</v>
      </c>
      <c r="B128" s="8">
        <v>45039</v>
      </c>
      <c r="C128" s="4" t="s">
        <v>24</v>
      </c>
      <c r="D128" s="4" t="s">
        <v>19</v>
      </c>
      <c r="E128" s="4" t="s">
        <v>63</v>
      </c>
      <c r="F128" s="4" t="s">
        <v>15</v>
      </c>
      <c r="G128" s="4">
        <v>2</v>
      </c>
      <c r="H128" s="5">
        <v>65000</v>
      </c>
      <c r="I128" s="5">
        <v>130000</v>
      </c>
      <c r="J128" s="4" t="s">
        <v>16</v>
      </c>
      <c r="K128" s="4" t="s">
        <v>39</v>
      </c>
      <c r="L128">
        <f t="shared" si="1"/>
        <v>130000</v>
      </c>
    </row>
    <row r="129" spans="1:12" ht="15.6" x14ac:dyDescent="0.3">
      <c r="A129" s="4" t="s">
        <v>175</v>
      </c>
      <c r="B129" s="8">
        <v>45039</v>
      </c>
      <c r="C129" s="4" t="s">
        <v>12</v>
      </c>
      <c r="D129" s="4" t="s">
        <v>13</v>
      </c>
      <c r="E129" s="4" t="s">
        <v>37</v>
      </c>
      <c r="F129" s="4" t="s">
        <v>38</v>
      </c>
      <c r="G129" s="4">
        <v>2</v>
      </c>
      <c r="H129" s="5">
        <v>25000</v>
      </c>
      <c r="I129" s="5">
        <v>50000</v>
      </c>
      <c r="J129" s="4" t="s">
        <v>30</v>
      </c>
      <c r="K129" s="4"/>
      <c r="L129">
        <f t="shared" si="1"/>
        <v>50000</v>
      </c>
    </row>
    <row r="130" spans="1:12" ht="15.6" x14ac:dyDescent="0.3">
      <c r="A130" s="4" t="s">
        <v>176</v>
      </c>
      <c r="B130" s="8">
        <v>45040</v>
      </c>
      <c r="C130" s="4" t="s">
        <v>27</v>
      </c>
      <c r="D130" s="4" t="s">
        <v>13</v>
      </c>
      <c r="E130" s="4" t="s">
        <v>37</v>
      </c>
      <c r="F130" s="4" t="s">
        <v>38</v>
      </c>
      <c r="G130" s="4">
        <v>5</v>
      </c>
      <c r="H130" s="5">
        <v>25000</v>
      </c>
      <c r="I130" s="5">
        <v>125000</v>
      </c>
      <c r="J130" s="4" t="s">
        <v>44</v>
      </c>
      <c r="K130" s="4"/>
      <c r="L130">
        <f t="shared" si="1"/>
        <v>125000</v>
      </c>
    </row>
    <row r="131" spans="1:12" ht="15.6" x14ac:dyDescent="0.3">
      <c r="A131" s="4" t="s">
        <v>177</v>
      </c>
      <c r="B131" s="8">
        <v>45041</v>
      </c>
      <c r="C131" s="4" t="s">
        <v>34</v>
      </c>
      <c r="D131" s="4" t="s">
        <v>35</v>
      </c>
      <c r="E131" s="4" t="s">
        <v>20</v>
      </c>
      <c r="F131" s="4" t="s">
        <v>15</v>
      </c>
      <c r="G131" s="4">
        <v>5</v>
      </c>
      <c r="H131" s="5">
        <v>45000</v>
      </c>
      <c r="I131" s="5">
        <v>225000</v>
      </c>
      <c r="J131" s="4" t="s">
        <v>16</v>
      </c>
      <c r="K131" s="4"/>
      <c r="L131">
        <f t="shared" ref="L131:L151" si="2">G131*H131</f>
        <v>225000</v>
      </c>
    </row>
    <row r="132" spans="1:12" ht="15.6" x14ac:dyDescent="0.3">
      <c r="A132" s="4" t="s">
        <v>178</v>
      </c>
      <c r="B132" s="8">
        <v>45042</v>
      </c>
      <c r="C132" s="4" t="s">
        <v>18</v>
      </c>
      <c r="D132" s="4" t="s">
        <v>19</v>
      </c>
      <c r="E132" s="4" t="s">
        <v>41</v>
      </c>
      <c r="F132" s="4" t="s">
        <v>42</v>
      </c>
      <c r="G132" s="4">
        <v>4</v>
      </c>
      <c r="H132" s="5">
        <v>25000</v>
      </c>
      <c r="I132" s="5">
        <v>100000</v>
      </c>
      <c r="J132" s="4" t="s">
        <v>30</v>
      </c>
      <c r="K132" s="4"/>
      <c r="L132">
        <f t="shared" si="2"/>
        <v>100000</v>
      </c>
    </row>
    <row r="133" spans="1:12" ht="15.6" x14ac:dyDescent="0.3">
      <c r="A133" s="4" t="s">
        <v>179</v>
      </c>
      <c r="B133" s="8">
        <v>45043</v>
      </c>
      <c r="C133" s="4" t="s">
        <v>24</v>
      </c>
      <c r="D133" s="4" t="s">
        <v>19</v>
      </c>
      <c r="E133" s="4" t="s">
        <v>57</v>
      </c>
      <c r="F133" s="4" t="s">
        <v>38</v>
      </c>
      <c r="G133" s="4">
        <v>2</v>
      </c>
      <c r="H133" s="5">
        <v>39000</v>
      </c>
      <c r="I133" s="5">
        <v>78000</v>
      </c>
      <c r="J133" s="4" t="s">
        <v>16</v>
      </c>
      <c r="K133" s="4"/>
      <c r="L133">
        <f t="shared" si="2"/>
        <v>78000</v>
      </c>
    </row>
    <row r="134" spans="1:12" ht="15.6" x14ac:dyDescent="0.3">
      <c r="A134" s="4" t="s">
        <v>180</v>
      </c>
      <c r="B134" s="8">
        <v>45044</v>
      </c>
      <c r="C134" s="4" t="s">
        <v>24</v>
      </c>
      <c r="D134" s="4" t="s">
        <v>19</v>
      </c>
      <c r="E134" s="4" t="s">
        <v>74</v>
      </c>
      <c r="F134" s="4" t="s">
        <v>42</v>
      </c>
      <c r="G134" s="4">
        <v>1</v>
      </c>
      <c r="H134" s="5">
        <v>18000</v>
      </c>
      <c r="I134" s="5">
        <v>18000</v>
      </c>
      <c r="J134" s="4" t="s">
        <v>44</v>
      </c>
      <c r="K134" s="4"/>
      <c r="L134">
        <f t="shared" si="2"/>
        <v>18000</v>
      </c>
    </row>
    <row r="135" spans="1:12" ht="15.6" x14ac:dyDescent="0.3">
      <c r="A135" s="4" t="s">
        <v>181</v>
      </c>
      <c r="B135" s="8">
        <v>45045</v>
      </c>
      <c r="C135" s="4" t="s">
        <v>24</v>
      </c>
      <c r="D135" s="4" t="s">
        <v>19</v>
      </c>
      <c r="E135" s="4" t="s">
        <v>32</v>
      </c>
      <c r="F135" s="4" t="s">
        <v>29</v>
      </c>
      <c r="G135" s="4">
        <v>3</v>
      </c>
      <c r="H135" s="5">
        <v>59000</v>
      </c>
      <c r="I135" s="5">
        <v>177000</v>
      </c>
      <c r="J135" s="4" t="s">
        <v>16</v>
      </c>
      <c r="K135" s="4" t="s">
        <v>25</v>
      </c>
      <c r="L135">
        <f t="shared" si="2"/>
        <v>177000</v>
      </c>
    </row>
    <row r="136" spans="1:12" ht="15.6" x14ac:dyDescent="0.3">
      <c r="A136" s="4" t="s">
        <v>182</v>
      </c>
      <c r="B136" s="8">
        <v>45046</v>
      </c>
      <c r="C136" s="4" t="s">
        <v>34</v>
      </c>
      <c r="D136" s="4" t="s">
        <v>35</v>
      </c>
      <c r="E136" s="4" t="s">
        <v>14</v>
      </c>
      <c r="F136" s="4" t="s">
        <v>15</v>
      </c>
      <c r="G136" s="4">
        <v>4</v>
      </c>
      <c r="H136" s="5">
        <v>55000</v>
      </c>
      <c r="I136" s="5">
        <v>220000</v>
      </c>
      <c r="J136" s="4" t="s">
        <v>30</v>
      </c>
      <c r="K136" s="4"/>
      <c r="L136">
        <f t="shared" si="2"/>
        <v>220000</v>
      </c>
    </row>
    <row r="137" spans="1:12" ht="15.6" x14ac:dyDescent="0.3">
      <c r="A137" s="4" t="s">
        <v>183</v>
      </c>
      <c r="B137" s="9">
        <v>45091</v>
      </c>
      <c r="C137" s="4" t="s">
        <v>34</v>
      </c>
      <c r="D137" s="4" t="s">
        <v>35</v>
      </c>
      <c r="E137" s="4" t="s">
        <v>52</v>
      </c>
      <c r="F137" s="4" t="s">
        <v>38</v>
      </c>
      <c r="G137" s="4">
        <v>4</v>
      </c>
      <c r="H137" s="5">
        <v>35000</v>
      </c>
      <c r="I137" s="5">
        <v>140000</v>
      </c>
      <c r="J137" s="4" t="s">
        <v>44</v>
      </c>
      <c r="K137" s="4"/>
      <c r="L137">
        <f t="shared" si="2"/>
        <v>140000</v>
      </c>
    </row>
    <row r="138" spans="1:12" ht="15.6" x14ac:dyDescent="0.3">
      <c r="A138" s="4" t="s">
        <v>184</v>
      </c>
      <c r="B138" s="9">
        <v>45092</v>
      </c>
      <c r="C138" s="4" t="s">
        <v>27</v>
      </c>
      <c r="D138" s="4" t="s">
        <v>13</v>
      </c>
      <c r="E138" s="4" t="s">
        <v>57</v>
      </c>
      <c r="F138" s="4" t="s">
        <v>38</v>
      </c>
      <c r="G138" s="4">
        <v>5</v>
      </c>
      <c r="H138" s="5">
        <v>39000</v>
      </c>
      <c r="I138" s="5">
        <v>195000</v>
      </c>
      <c r="J138" s="4" t="s">
        <v>44</v>
      </c>
      <c r="K138" s="4"/>
      <c r="L138">
        <f t="shared" si="2"/>
        <v>195000</v>
      </c>
    </row>
    <row r="139" spans="1:12" ht="15.6" x14ac:dyDescent="0.3">
      <c r="A139" s="4" t="s">
        <v>185</v>
      </c>
      <c r="B139" s="9">
        <v>45093</v>
      </c>
      <c r="C139" s="4" t="s">
        <v>24</v>
      </c>
      <c r="D139" s="4" t="s">
        <v>19</v>
      </c>
      <c r="E139" s="4" t="s">
        <v>74</v>
      </c>
      <c r="F139" s="4" t="s">
        <v>42</v>
      </c>
      <c r="G139" s="4">
        <v>4</v>
      </c>
      <c r="H139" s="5">
        <v>18000</v>
      </c>
      <c r="I139" s="5">
        <v>72000</v>
      </c>
      <c r="J139" s="4" t="s">
        <v>30</v>
      </c>
      <c r="K139" s="4" t="s">
        <v>55</v>
      </c>
      <c r="L139">
        <f t="shared" si="2"/>
        <v>72000</v>
      </c>
    </row>
    <row r="140" spans="1:12" ht="15.6" x14ac:dyDescent="0.3">
      <c r="A140" s="4" t="s">
        <v>186</v>
      </c>
      <c r="B140" s="9">
        <v>45094</v>
      </c>
      <c r="C140" s="4" t="s">
        <v>34</v>
      </c>
      <c r="D140" s="4" t="s">
        <v>35</v>
      </c>
      <c r="E140" s="4" t="s">
        <v>49</v>
      </c>
      <c r="F140" s="4" t="s">
        <v>50</v>
      </c>
      <c r="G140" s="4">
        <v>2</v>
      </c>
      <c r="H140" s="5">
        <v>129000</v>
      </c>
      <c r="I140" s="5">
        <v>258000</v>
      </c>
      <c r="J140" s="4" t="s">
        <v>16</v>
      </c>
      <c r="K140" s="4"/>
      <c r="L140">
        <f t="shared" si="2"/>
        <v>258000</v>
      </c>
    </row>
    <row r="141" spans="1:12" ht="15.6" x14ac:dyDescent="0.3">
      <c r="A141" s="4" t="s">
        <v>187</v>
      </c>
      <c r="B141" s="9">
        <v>45095</v>
      </c>
      <c r="C141" s="4" t="s">
        <v>27</v>
      </c>
      <c r="D141" s="4" t="s">
        <v>13</v>
      </c>
      <c r="E141" s="4" t="s">
        <v>74</v>
      </c>
      <c r="F141" s="4" t="s">
        <v>42</v>
      </c>
      <c r="G141" s="4">
        <v>4</v>
      </c>
      <c r="H141" s="5">
        <v>18000</v>
      </c>
      <c r="I141" s="5">
        <v>72000</v>
      </c>
      <c r="J141" s="4" t="s">
        <v>44</v>
      </c>
      <c r="K141" s="4" t="s">
        <v>21</v>
      </c>
      <c r="L141">
        <f t="shared" si="2"/>
        <v>72000</v>
      </c>
    </row>
    <row r="142" spans="1:12" ht="15.6" x14ac:dyDescent="0.3">
      <c r="A142" s="4" t="s">
        <v>188</v>
      </c>
      <c r="B142" s="9">
        <v>45096</v>
      </c>
      <c r="C142" s="4" t="s">
        <v>68</v>
      </c>
      <c r="D142" s="4" t="s">
        <v>35</v>
      </c>
      <c r="E142" s="4" t="s">
        <v>49</v>
      </c>
      <c r="F142" s="4" t="s">
        <v>50</v>
      </c>
      <c r="G142" s="4">
        <v>1</v>
      </c>
      <c r="H142" s="5">
        <v>129000</v>
      </c>
      <c r="I142" s="5">
        <v>129000</v>
      </c>
      <c r="J142" s="4" t="s">
        <v>30</v>
      </c>
      <c r="K142" s="4" t="s">
        <v>47</v>
      </c>
      <c r="L142">
        <f t="shared" si="2"/>
        <v>129000</v>
      </c>
    </row>
    <row r="143" spans="1:12" ht="15.6" x14ac:dyDescent="0.3">
      <c r="A143" s="4" t="s">
        <v>189</v>
      </c>
      <c r="B143" s="9">
        <v>45097</v>
      </c>
      <c r="C143" s="4" t="s">
        <v>68</v>
      </c>
      <c r="D143" s="4" t="s">
        <v>35</v>
      </c>
      <c r="E143" s="4" t="s">
        <v>54</v>
      </c>
      <c r="F143" s="4" t="s">
        <v>50</v>
      </c>
      <c r="G143" s="4">
        <v>3</v>
      </c>
      <c r="H143" s="5">
        <v>189000</v>
      </c>
      <c r="I143" s="5">
        <v>567000</v>
      </c>
      <c r="J143" s="4" t="s">
        <v>30</v>
      </c>
      <c r="K143" s="4" t="s">
        <v>47</v>
      </c>
      <c r="L143">
        <f t="shared" si="2"/>
        <v>567000</v>
      </c>
    </row>
    <row r="144" spans="1:12" ht="15.6" x14ac:dyDescent="0.3">
      <c r="A144" s="4" t="s">
        <v>190</v>
      </c>
      <c r="B144" s="9">
        <v>45098</v>
      </c>
      <c r="C144" s="4" t="s">
        <v>24</v>
      </c>
      <c r="D144" s="4" t="s">
        <v>19</v>
      </c>
      <c r="E144" s="4" t="s">
        <v>57</v>
      </c>
      <c r="F144" s="4" t="s">
        <v>38</v>
      </c>
      <c r="G144" s="4">
        <v>3</v>
      </c>
      <c r="H144" s="5">
        <v>39000</v>
      </c>
      <c r="I144" s="5">
        <v>117000</v>
      </c>
      <c r="J144" s="4" t="s">
        <v>44</v>
      </c>
      <c r="K144" s="4"/>
      <c r="L144">
        <f t="shared" si="2"/>
        <v>117000</v>
      </c>
    </row>
    <row r="145" spans="1:12" ht="15.6" x14ac:dyDescent="0.3">
      <c r="A145" s="4" t="s">
        <v>191</v>
      </c>
      <c r="B145" s="9">
        <v>45099</v>
      </c>
      <c r="C145" s="4" t="s">
        <v>27</v>
      </c>
      <c r="D145" s="4" t="s">
        <v>13</v>
      </c>
      <c r="E145" s="4" t="s">
        <v>20</v>
      </c>
      <c r="F145" s="4" t="s">
        <v>15</v>
      </c>
      <c r="G145" s="4">
        <v>2</v>
      </c>
      <c r="H145" s="5">
        <v>45000</v>
      </c>
      <c r="I145" s="5">
        <v>90000</v>
      </c>
      <c r="J145" s="4" t="s">
        <v>44</v>
      </c>
      <c r="K145" s="4" t="s">
        <v>55</v>
      </c>
      <c r="L145">
        <f t="shared" si="2"/>
        <v>90000</v>
      </c>
    </row>
    <row r="146" spans="1:12" ht="15.6" x14ac:dyDescent="0.3">
      <c r="A146" s="4" t="s">
        <v>192</v>
      </c>
      <c r="B146" s="9">
        <v>45100</v>
      </c>
      <c r="C146" s="4" t="s">
        <v>24</v>
      </c>
      <c r="D146" s="4" t="s">
        <v>19</v>
      </c>
      <c r="E146" s="4" t="s">
        <v>74</v>
      </c>
      <c r="F146" s="4" t="s">
        <v>42</v>
      </c>
      <c r="G146" s="4">
        <v>2</v>
      </c>
      <c r="H146" s="5">
        <v>18000</v>
      </c>
      <c r="I146" s="5">
        <v>36000</v>
      </c>
      <c r="J146" s="4" t="s">
        <v>44</v>
      </c>
      <c r="K146" s="4" t="s">
        <v>39</v>
      </c>
      <c r="L146">
        <f t="shared" si="2"/>
        <v>36000</v>
      </c>
    </row>
    <row r="147" spans="1:12" ht="15.6" x14ac:dyDescent="0.3">
      <c r="A147" s="4" t="s">
        <v>193</v>
      </c>
      <c r="B147" s="9">
        <v>45101</v>
      </c>
      <c r="C147" s="4" t="s">
        <v>18</v>
      </c>
      <c r="D147" s="4" t="s">
        <v>19</v>
      </c>
      <c r="E147" s="4" t="s">
        <v>28</v>
      </c>
      <c r="F147" s="4" t="s">
        <v>29</v>
      </c>
      <c r="G147" s="4">
        <v>4</v>
      </c>
      <c r="H147" s="5">
        <v>129000</v>
      </c>
      <c r="I147" s="5">
        <v>516000</v>
      </c>
      <c r="J147" s="4" t="s">
        <v>16</v>
      </c>
      <c r="K147" s="4"/>
      <c r="L147">
        <f t="shared" si="2"/>
        <v>516000</v>
      </c>
    </row>
    <row r="148" spans="1:12" ht="15.6" x14ac:dyDescent="0.3">
      <c r="A148" s="4" t="s">
        <v>194</v>
      </c>
      <c r="B148" s="9">
        <v>45102</v>
      </c>
      <c r="C148" s="4" t="s">
        <v>27</v>
      </c>
      <c r="D148" s="4" t="s">
        <v>13</v>
      </c>
      <c r="E148" s="4" t="s">
        <v>32</v>
      </c>
      <c r="F148" s="4" t="s">
        <v>29</v>
      </c>
      <c r="G148" s="4">
        <v>2</v>
      </c>
      <c r="H148" s="5">
        <v>59000</v>
      </c>
      <c r="I148" s="5">
        <v>118000</v>
      </c>
      <c r="J148" s="4" t="s">
        <v>30</v>
      </c>
      <c r="K148" s="4" t="s">
        <v>21</v>
      </c>
      <c r="L148">
        <f t="shared" si="2"/>
        <v>118000</v>
      </c>
    </row>
    <row r="149" spans="1:12" ht="15.6" x14ac:dyDescent="0.3">
      <c r="A149" s="4" t="s">
        <v>195</v>
      </c>
      <c r="B149" s="9">
        <v>45103</v>
      </c>
      <c r="C149" s="4" t="s">
        <v>68</v>
      </c>
      <c r="D149" s="4" t="s">
        <v>35</v>
      </c>
      <c r="E149" s="4" t="s">
        <v>70</v>
      </c>
      <c r="F149" s="4" t="s">
        <v>29</v>
      </c>
      <c r="G149" s="4">
        <v>5</v>
      </c>
      <c r="H149" s="5">
        <v>79000</v>
      </c>
      <c r="I149" s="5">
        <v>395000</v>
      </c>
      <c r="J149" s="4" t="s">
        <v>30</v>
      </c>
      <c r="K149" s="4" t="s">
        <v>55</v>
      </c>
      <c r="L149">
        <f t="shared" si="2"/>
        <v>395000</v>
      </c>
    </row>
    <row r="150" spans="1:12" ht="15.6" x14ac:dyDescent="0.3">
      <c r="A150" s="4" t="s">
        <v>196</v>
      </c>
      <c r="B150" s="9">
        <v>45104</v>
      </c>
      <c r="C150" s="4" t="s">
        <v>34</v>
      </c>
      <c r="D150" s="4" t="s">
        <v>35</v>
      </c>
      <c r="E150" s="4" t="s">
        <v>49</v>
      </c>
      <c r="F150" s="4" t="s">
        <v>50</v>
      </c>
      <c r="G150" s="4">
        <v>4</v>
      </c>
      <c r="H150" s="5">
        <v>129000</v>
      </c>
      <c r="I150" s="5">
        <v>516000</v>
      </c>
      <c r="J150" s="4" t="s">
        <v>30</v>
      </c>
      <c r="K150" s="4"/>
      <c r="L150">
        <f t="shared" si="2"/>
        <v>516000</v>
      </c>
    </row>
    <row r="151" spans="1:12" ht="15.6" x14ac:dyDescent="0.3">
      <c r="A151" s="4" t="s">
        <v>197</v>
      </c>
      <c r="B151" s="9">
        <v>45105</v>
      </c>
      <c r="C151" s="4" t="s">
        <v>27</v>
      </c>
      <c r="D151" s="4" t="s">
        <v>13</v>
      </c>
      <c r="E151" s="4" t="s">
        <v>20</v>
      </c>
      <c r="F151" s="4" t="s">
        <v>15</v>
      </c>
      <c r="G151" s="4">
        <v>2</v>
      </c>
      <c r="H151" s="5">
        <v>45000</v>
      </c>
      <c r="I151" s="5">
        <v>90000</v>
      </c>
      <c r="J151" s="4" t="s">
        <v>30</v>
      </c>
      <c r="K151" s="4"/>
      <c r="L151">
        <f t="shared" si="2"/>
        <v>90000</v>
      </c>
    </row>
  </sheetData>
  <autoFilter ref="A1:K1" xr:uid="{00000000-0001-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B2" sqref="B2"/>
    </sheetView>
  </sheetViews>
  <sheetFormatPr defaultRowHeight="14.4" x14ac:dyDescent="0.3"/>
  <cols>
    <col min="1" max="1" width="25" customWidth="1"/>
    <col min="2" max="2" width="12" customWidth="1"/>
    <col min="3" max="3" width="17.5546875" customWidth="1"/>
  </cols>
  <sheetData>
    <row r="1" spans="1:3" ht="15.6" x14ac:dyDescent="0.3">
      <c r="A1" s="1" t="s">
        <v>4</v>
      </c>
      <c r="B1" s="1" t="s">
        <v>5</v>
      </c>
      <c r="C1" s="1" t="s">
        <v>198</v>
      </c>
    </row>
    <row r="2" spans="1:3" ht="15.6" x14ac:dyDescent="0.3">
      <c r="A2" s="2" t="s">
        <v>14</v>
      </c>
      <c r="B2" s="2" t="s">
        <v>15</v>
      </c>
      <c r="C2" s="3">
        <v>55000</v>
      </c>
    </row>
    <row r="3" spans="1:3" ht="15.6" x14ac:dyDescent="0.3">
      <c r="A3" s="2" t="s">
        <v>20</v>
      </c>
      <c r="B3" s="2" t="s">
        <v>15</v>
      </c>
      <c r="C3" s="3">
        <v>45000</v>
      </c>
    </row>
    <row r="4" spans="1:3" ht="15.6" x14ac:dyDescent="0.3">
      <c r="A4" s="2" t="s">
        <v>63</v>
      </c>
      <c r="B4" s="2" t="s">
        <v>15</v>
      </c>
      <c r="C4" s="3">
        <v>65000</v>
      </c>
    </row>
    <row r="5" spans="1:3" ht="15.6" x14ac:dyDescent="0.3">
      <c r="A5" s="2" t="s">
        <v>54</v>
      </c>
      <c r="B5" s="2" t="s">
        <v>50</v>
      </c>
      <c r="C5" s="3">
        <v>189000</v>
      </c>
    </row>
    <row r="6" spans="1:3" ht="15.6" x14ac:dyDescent="0.3">
      <c r="A6" s="2" t="s">
        <v>99</v>
      </c>
      <c r="B6" s="2" t="s">
        <v>50</v>
      </c>
      <c r="C6" s="3">
        <v>159000</v>
      </c>
    </row>
    <row r="7" spans="1:3" ht="15.6" x14ac:dyDescent="0.3">
      <c r="A7" s="2" t="s">
        <v>49</v>
      </c>
      <c r="B7" s="2" t="s">
        <v>50</v>
      </c>
      <c r="C7" s="3">
        <v>129000</v>
      </c>
    </row>
    <row r="8" spans="1:3" ht="15.6" x14ac:dyDescent="0.3">
      <c r="A8" s="2" t="s">
        <v>32</v>
      </c>
      <c r="B8" s="2" t="s">
        <v>29</v>
      </c>
      <c r="C8" s="3">
        <v>59000</v>
      </c>
    </row>
    <row r="9" spans="1:3" ht="15.6" x14ac:dyDescent="0.3">
      <c r="A9" s="2" t="s">
        <v>28</v>
      </c>
      <c r="B9" s="2" t="s">
        <v>29</v>
      </c>
      <c r="C9" s="3">
        <v>129000</v>
      </c>
    </row>
    <row r="10" spans="1:3" ht="15.6" x14ac:dyDescent="0.3">
      <c r="A10" s="2" t="s">
        <v>70</v>
      </c>
      <c r="B10" s="2" t="s">
        <v>29</v>
      </c>
      <c r="C10" s="3">
        <v>79000</v>
      </c>
    </row>
    <row r="11" spans="1:3" ht="15.6" x14ac:dyDescent="0.3">
      <c r="A11" s="2" t="s">
        <v>37</v>
      </c>
      <c r="B11" s="2" t="s">
        <v>38</v>
      </c>
      <c r="C11" s="3">
        <v>25000</v>
      </c>
    </row>
    <row r="12" spans="1:3" ht="15.6" x14ac:dyDescent="0.3">
      <c r="A12" s="2" t="s">
        <v>52</v>
      </c>
      <c r="B12" s="2" t="s">
        <v>38</v>
      </c>
      <c r="C12" s="3">
        <v>35000</v>
      </c>
    </row>
    <row r="13" spans="1:3" ht="15.6" x14ac:dyDescent="0.3">
      <c r="A13" s="2" t="s">
        <v>57</v>
      </c>
      <c r="B13" s="2" t="s">
        <v>38</v>
      </c>
      <c r="C13" s="3">
        <v>39000</v>
      </c>
    </row>
    <row r="14" spans="1:3" ht="15.6" x14ac:dyDescent="0.3">
      <c r="A14" s="2" t="s">
        <v>74</v>
      </c>
      <c r="B14" s="2" t="s">
        <v>42</v>
      </c>
      <c r="C14" s="3">
        <v>18000</v>
      </c>
    </row>
    <row r="15" spans="1:3" ht="15.6" x14ac:dyDescent="0.3">
      <c r="A15" s="2" t="s">
        <v>59</v>
      </c>
      <c r="B15" s="2" t="s">
        <v>42</v>
      </c>
      <c r="C15" s="3">
        <v>18000</v>
      </c>
    </row>
    <row r="16" spans="1:3" ht="15.6" x14ac:dyDescent="0.3">
      <c r="A16" s="2" t="s">
        <v>41</v>
      </c>
      <c r="B16" s="2" t="s">
        <v>42</v>
      </c>
      <c r="C16" s="3">
        <v>25000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DonHang</vt:lpstr>
      <vt:lpstr>BangGia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2026-01-08T08:37:22Z</dcterms:created>
  <dcterms:modified xsi:type="dcterms:W3CDTF">2026-01-28T07:32:53Z</dcterms:modified>
</cp:coreProperties>
</file>